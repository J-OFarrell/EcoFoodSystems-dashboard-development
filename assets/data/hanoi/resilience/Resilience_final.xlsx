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d057b36fb08c44/Desktop/STUDY/MSc Agrifood sustainability and technology/PAB5124_Minor research project “Agrifood Sustainability ^0 Technology”/Database/"/>
    </mc:Choice>
  </mc:AlternateContent>
  <xr:revisionPtr revIDLastSave="32" documentId="13_ncr:2001_{2920A687-EB42-A145-96A0-7CCA87300151}" xr6:coauthVersionLast="47" xr6:coauthVersionMax="47" xr10:uidLastSave="{6D57D3BB-10BD-064C-B560-48E0A12B798C}"/>
  <bookViews>
    <workbookView xWindow="-30880" yWindow="-600" windowWidth="24560" windowHeight="20640" firstSheet="4" activeTab="5" xr2:uid="{7268D9C1-4D70-C24E-9A65-5D4DA4875D28}"/>
  </bookViews>
  <sheets>
    <sheet name="Shock_quarterly" sheetId="15" r:id="rId1"/>
    <sheet name="Shock event mapping" sheetId="7" r:id="rId2"/>
    <sheet name="Pillar3_quarterly" sheetId="13" r:id="rId3"/>
    <sheet name="Pillar2_quarterly" sheetId="12" r:id="rId4"/>
    <sheet name="Pillar1_quarterly" sheetId="11" r:id="rId5"/>
    <sheet name="CRI index SOS" sheetId="29" r:id="rId6"/>
    <sheet name="Pillar1 SOS" sheetId="30" r:id="rId7"/>
    <sheet name="Pillar2 SOS" sheetId="31" r:id="rId8"/>
    <sheet name="Pillar3 SOS" sheetId="32" r:id="rId9"/>
    <sheet name="Final_std_lv3" sheetId="28" r:id="rId10"/>
    <sheet name="Pillar1_std_lv2" sheetId="22" r:id="rId11"/>
    <sheet name="Pillar2_std_lv2" sheetId="23" r:id="rId12"/>
    <sheet name="Pillar3_std_lv2" sheetId="24" r:id="rId13"/>
    <sheet name="Pillar1_standardized" sheetId="18" r:id="rId14"/>
    <sheet name="Pillar2_standardized" sheetId="19" r:id="rId15"/>
    <sheet name="Pillar3_standardized" sheetId="20" r:id="rId16"/>
    <sheet name="Quarter" sheetId="9" r:id="rId17"/>
  </sheets>
  <definedNames>
    <definedName name="ExternalData_10" localSheetId="4" hidden="1">Pillar1_quarterly!$A$1:$M$45</definedName>
    <definedName name="ExternalData_10" localSheetId="13" hidden="1">Pillar1_standardized!$A$1:$N$46</definedName>
    <definedName name="ExternalData_10" localSheetId="10" hidden="1">Pillar1_std_lv2!$A$1:$H$45</definedName>
    <definedName name="ExternalData_11" localSheetId="3" hidden="1">Pillar2_quarterly!$A$1:$X$45</definedName>
    <definedName name="ExternalData_11" localSheetId="14" hidden="1">Pillar2_standardized!$A$1:$Q$46</definedName>
    <definedName name="ExternalData_11" localSheetId="11" hidden="1">Pillar2_std_lv2!$A$1:$G$45</definedName>
    <definedName name="ExternalData_14" localSheetId="5" hidden="1">'CRI index SOS'!$A$1:$B$45</definedName>
    <definedName name="ExternalData_14" localSheetId="9" hidden="1">Final_std_lv3!$A$1:$B$45</definedName>
    <definedName name="ExternalData_14" localSheetId="7" hidden="1">'Pillar2 SOS'!$A$1:$B$45</definedName>
    <definedName name="ExternalData_14" localSheetId="8" hidden="1">'Pillar3 SOS'!$A$1:$B$45</definedName>
    <definedName name="ExternalData_4" localSheetId="2" hidden="1">Pillar3_quarterly!$A$1:$H$45</definedName>
    <definedName name="ExternalData_4" localSheetId="15" hidden="1">Pillar3_standardized!$A$1:$H$45</definedName>
    <definedName name="ExternalData_4" localSheetId="12" hidden="1">Pillar3_std_lv2!$A$1:$B$45</definedName>
    <definedName name="ExternalData_6" localSheetId="1" hidden="1">'Shock event mapping'!$A$1:$G$24</definedName>
    <definedName name="ExternalData_7" localSheetId="0" hidden="1">Shock_quarterly!$A$1:$D$45</definedName>
    <definedName name="ExternalData_8" localSheetId="16" hidden="1">Quarter!$A$1:$B$45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9" l="1"/>
  <c r="Q2" i="31"/>
  <c r="Q3" i="31"/>
  <c r="Q4" i="31"/>
  <c r="Q5" i="3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P2" i="31"/>
  <c r="P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39" i="31"/>
  <c r="P40" i="31"/>
  <c r="P41" i="31"/>
  <c r="P42" i="31"/>
  <c r="P43" i="31"/>
  <c r="P44" i="31"/>
  <c r="P45" i="31"/>
  <c r="Q2" i="30"/>
  <c r="Q3" i="30"/>
  <c r="Q4" i="30"/>
  <c r="Q5" i="30"/>
  <c r="Q6" i="30"/>
  <c r="Q7" i="30"/>
  <c r="Q8" i="30"/>
  <c r="Q9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Q26" i="30"/>
  <c r="Q27" i="30"/>
  <c r="Q28" i="30"/>
  <c r="Q29" i="30"/>
  <c r="Q30" i="30"/>
  <c r="Q31" i="30"/>
  <c r="Q32" i="30"/>
  <c r="Q33" i="30"/>
  <c r="Q34" i="30"/>
  <c r="Q35" i="30"/>
  <c r="Q36" i="30"/>
  <c r="Q37" i="30"/>
  <c r="Q38" i="30"/>
  <c r="Q39" i="30"/>
  <c r="Q40" i="30"/>
  <c r="Q41" i="30"/>
  <c r="Q42" i="30"/>
  <c r="Q43" i="30"/>
  <c r="Q44" i="30"/>
  <c r="Q45" i="30"/>
  <c r="P2" i="30"/>
  <c r="P3" i="30"/>
  <c r="P4" i="30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F2" i="22" l="1"/>
  <c r="L2" i="32"/>
  <c r="L3" i="32"/>
  <c r="L4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K2" i="32"/>
  <c r="O2" i="31"/>
  <c r="L2" i="31"/>
  <c r="L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K2" i="31"/>
  <c r="C45" i="32" l="1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I36" i="32" s="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D2" i="28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E2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E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D2" i="22"/>
  <c r="C2" i="22" s="1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E2" i="23"/>
  <c r="E3" i="23"/>
  <c r="C3" i="23" s="1"/>
  <c r="E4" i="23"/>
  <c r="C4" i="23" s="1"/>
  <c r="E5" i="23"/>
  <c r="C5" i="23" s="1"/>
  <c r="E6" i="23"/>
  <c r="C6" i="23" s="1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D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C15" i="23" s="1"/>
  <c r="D16" i="23"/>
  <c r="C16" i="23" s="1"/>
  <c r="D17" i="23"/>
  <c r="C17" i="23" s="1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C27" i="23"/>
  <c r="C28" i="23"/>
  <c r="C29" i="23"/>
  <c r="C30" i="23"/>
  <c r="C2" i="23"/>
  <c r="C14" i="23"/>
  <c r="C26" i="23"/>
  <c r="C38" i="23"/>
  <c r="C39" i="23"/>
  <c r="C40" i="23"/>
  <c r="C41" i="23"/>
  <c r="C42" i="23"/>
  <c r="F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2" i="23"/>
  <c r="H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I2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J2" i="23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C2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2" i="24"/>
  <c r="J55" i="23"/>
  <c r="J54" i="23"/>
  <c r="I5" i="32" l="1"/>
  <c r="O34" i="31"/>
  <c r="N6" i="31"/>
  <c r="N18" i="31"/>
  <c r="N30" i="31"/>
  <c r="O30" i="31" s="1"/>
  <c r="N42" i="31"/>
  <c r="N8" i="31"/>
  <c r="N32" i="31"/>
  <c r="O32" i="31" s="1"/>
  <c r="N21" i="31"/>
  <c r="N45" i="31"/>
  <c r="N22" i="31"/>
  <c r="N34" i="31"/>
  <c r="N11" i="31"/>
  <c r="N35" i="31"/>
  <c r="N24" i="31"/>
  <c r="O24" i="31" s="1"/>
  <c r="N13" i="31"/>
  <c r="O13" i="31" s="1"/>
  <c r="N37" i="31"/>
  <c r="N14" i="31"/>
  <c r="N38" i="31"/>
  <c r="N3" i="31"/>
  <c r="O3" i="31" s="1"/>
  <c r="N27" i="31"/>
  <c r="N4" i="31"/>
  <c r="N28" i="31"/>
  <c r="N17" i="31"/>
  <c r="N41" i="31"/>
  <c r="N7" i="31"/>
  <c r="O7" i="31" s="1"/>
  <c r="N19" i="31"/>
  <c r="O19" i="31" s="1"/>
  <c r="N31" i="31"/>
  <c r="O31" i="31" s="1"/>
  <c r="N43" i="31"/>
  <c r="N20" i="31"/>
  <c r="N44" i="31"/>
  <c r="O44" i="31" s="1"/>
  <c r="N9" i="31"/>
  <c r="O9" i="31" s="1"/>
  <c r="N33" i="31"/>
  <c r="O33" i="31" s="1"/>
  <c r="N10" i="31"/>
  <c r="N23" i="31"/>
  <c r="N12" i="31"/>
  <c r="N36" i="31"/>
  <c r="O36" i="31" s="1"/>
  <c r="N25" i="31"/>
  <c r="N2" i="31"/>
  <c r="N26" i="31"/>
  <c r="O26" i="31" s="1"/>
  <c r="N15" i="31"/>
  <c r="N39" i="31"/>
  <c r="N16" i="31"/>
  <c r="N40" i="31"/>
  <c r="O40" i="31" s="1"/>
  <c r="N5" i="31"/>
  <c r="O5" i="31" s="1"/>
  <c r="N29" i="31"/>
  <c r="O17" i="31"/>
  <c r="O21" i="31"/>
  <c r="O10" i="31"/>
  <c r="O27" i="31"/>
  <c r="I10" i="31"/>
  <c r="J10" i="31" s="1"/>
  <c r="I28" i="32"/>
  <c r="J28" i="32" s="1"/>
  <c r="J36" i="32"/>
  <c r="J38" i="32"/>
  <c r="J23" i="32"/>
  <c r="J39" i="32"/>
  <c r="J30" i="32"/>
  <c r="I17" i="32"/>
  <c r="J5" i="32"/>
  <c r="I22" i="32"/>
  <c r="I27" i="32"/>
  <c r="I20" i="32"/>
  <c r="I13" i="32"/>
  <c r="I42" i="32"/>
  <c r="I35" i="32"/>
  <c r="J35" i="32" s="1"/>
  <c r="I29" i="32"/>
  <c r="I34" i="32"/>
  <c r="J34" i="32" s="1"/>
  <c r="I15" i="32"/>
  <c r="J15" i="32" s="1"/>
  <c r="I32" i="32"/>
  <c r="I25" i="32"/>
  <c r="J25" i="32" s="1"/>
  <c r="I18" i="32"/>
  <c r="I11" i="32"/>
  <c r="I16" i="32"/>
  <c r="I40" i="32"/>
  <c r="I21" i="32"/>
  <c r="I45" i="32"/>
  <c r="J45" i="32" s="1"/>
  <c r="I14" i="32"/>
  <c r="J14" i="32" s="1"/>
  <c r="I43" i="32"/>
  <c r="J43" i="32" s="1"/>
  <c r="I41" i="32"/>
  <c r="I10" i="32"/>
  <c r="J10" i="32" s="1"/>
  <c r="I3" i="32"/>
  <c r="J3" i="32" s="1"/>
  <c r="I39" i="32"/>
  <c r="I8" i="32"/>
  <c r="I44" i="32"/>
  <c r="I37" i="32"/>
  <c r="I6" i="32"/>
  <c r="J6" i="32" s="1"/>
  <c r="I30" i="32"/>
  <c r="I23" i="32"/>
  <c r="I4" i="32"/>
  <c r="J4" i="32" s="1"/>
  <c r="I9" i="32"/>
  <c r="I33" i="32"/>
  <c r="J33" i="32" s="1"/>
  <c r="I2" i="32"/>
  <c r="I26" i="32"/>
  <c r="J26" i="32" s="1"/>
  <c r="I38" i="32"/>
  <c r="I7" i="32"/>
  <c r="I19" i="32"/>
  <c r="I31" i="32"/>
  <c r="I12" i="32"/>
  <c r="I24" i="32"/>
  <c r="I36" i="31"/>
  <c r="I17" i="31"/>
  <c r="I41" i="31"/>
  <c r="I5" i="31"/>
  <c r="I29" i="31"/>
  <c r="I22" i="31"/>
  <c r="I40" i="31"/>
  <c r="J40" i="31" s="1"/>
  <c r="I28" i="31"/>
  <c r="I4" i="31"/>
  <c r="J4" i="31" s="1"/>
  <c r="I23" i="31"/>
  <c r="I11" i="31"/>
  <c r="J11" i="31" s="1"/>
  <c r="I30" i="31"/>
  <c r="J30" i="31" s="1"/>
  <c r="I6" i="31"/>
  <c r="J6" i="31" s="1"/>
  <c r="I13" i="31"/>
  <c r="J13" i="31" s="1"/>
  <c r="I20" i="31"/>
  <c r="I15" i="31"/>
  <c r="I16" i="31"/>
  <c r="J16" i="31" s="1"/>
  <c r="I35" i="31"/>
  <c r="J35" i="31" s="1"/>
  <c r="I42" i="31"/>
  <c r="J42" i="31" s="1"/>
  <c r="I37" i="31"/>
  <c r="J37" i="31" s="1"/>
  <c r="I44" i="31"/>
  <c r="I8" i="31"/>
  <c r="I39" i="31"/>
  <c r="J39" i="31" s="1"/>
  <c r="I34" i="31"/>
  <c r="J34" i="31" s="1"/>
  <c r="I18" i="31"/>
  <c r="J18" i="31" s="1"/>
  <c r="I25" i="31"/>
  <c r="I32" i="31"/>
  <c r="I27" i="31"/>
  <c r="J27" i="31" s="1"/>
  <c r="I3" i="31"/>
  <c r="I21" i="31"/>
  <c r="J21" i="31" s="1"/>
  <c r="I2" i="31"/>
  <c r="I19" i="31"/>
  <c r="J19" i="31" s="1"/>
  <c r="I9" i="31"/>
  <c r="J9" i="31" s="1"/>
  <c r="I33" i="31"/>
  <c r="I45" i="31"/>
  <c r="J45" i="31" s="1"/>
  <c r="I14" i="31"/>
  <c r="J14" i="31" s="1"/>
  <c r="I26" i="31"/>
  <c r="J26" i="31" s="1"/>
  <c r="I38" i="31"/>
  <c r="J38" i="31" s="1"/>
  <c r="I7" i="31"/>
  <c r="I31" i="31"/>
  <c r="J31" i="31" s="1"/>
  <c r="I43" i="31"/>
  <c r="J43" i="31" s="1"/>
  <c r="I12" i="31"/>
  <c r="I24" i="31"/>
  <c r="C18" i="23"/>
  <c r="C25" i="23"/>
  <c r="C36" i="23"/>
  <c r="C23" i="23"/>
  <c r="C21" i="23"/>
  <c r="C37" i="23"/>
  <c r="C13" i="23"/>
  <c r="C24" i="23"/>
  <c r="C12" i="23"/>
  <c r="C35" i="23"/>
  <c r="C11" i="23"/>
  <c r="C34" i="23"/>
  <c r="C22" i="23"/>
  <c r="C10" i="23"/>
  <c r="C45" i="23"/>
  <c r="C33" i="23"/>
  <c r="C9" i="23"/>
  <c r="C44" i="23"/>
  <c r="C32" i="23"/>
  <c r="C20" i="23"/>
  <c r="C8" i="23"/>
  <c r="C43" i="23"/>
  <c r="C31" i="23"/>
  <c r="C19" i="23"/>
  <c r="C7" i="23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O8" i="31" l="1"/>
  <c r="O18" i="31"/>
  <c r="O43" i="31"/>
  <c r="O38" i="31"/>
  <c r="O25" i="31"/>
  <c r="O42" i="31"/>
  <c r="O11" i="31"/>
  <c r="O12" i="31"/>
  <c r="O41" i="31"/>
  <c r="O39" i="31"/>
  <c r="O14" i="31"/>
  <c r="O35" i="31"/>
  <c r="O20" i="31"/>
  <c r="O23" i="31"/>
  <c r="O28" i="31"/>
  <c r="O6" i="31"/>
  <c r="O15" i="31"/>
  <c r="O29" i="31"/>
  <c r="O22" i="31"/>
  <c r="O16" i="31"/>
  <c r="O37" i="31"/>
  <c r="O45" i="31"/>
  <c r="O4" i="31"/>
  <c r="J12" i="32"/>
  <c r="J8" i="32"/>
  <c r="J44" i="32"/>
  <c r="J41" i="32"/>
  <c r="J2" i="32"/>
  <c r="J18" i="32"/>
  <c r="J27" i="32"/>
  <c r="J37" i="32"/>
  <c r="J32" i="32"/>
  <c r="J19" i="32"/>
  <c r="J17" i="32"/>
  <c r="J20" i="32"/>
  <c r="J7" i="32"/>
  <c r="J13" i="32"/>
  <c r="J21" i="32"/>
  <c r="J40" i="32"/>
  <c r="J11" i="32"/>
  <c r="J31" i="32"/>
  <c r="J24" i="32"/>
  <c r="J29" i="32"/>
  <c r="J9" i="32"/>
  <c r="J16" i="32"/>
  <c r="J42" i="32"/>
  <c r="J22" i="32"/>
  <c r="J28" i="31"/>
  <c r="J3" i="31"/>
  <c r="J33" i="31"/>
  <c r="J29" i="31"/>
  <c r="J36" i="31"/>
  <c r="J2" i="31"/>
  <c r="J8" i="31"/>
  <c r="J7" i="31"/>
  <c r="J17" i="31"/>
  <c r="J24" i="31"/>
  <c r="J44" i="31"/>
  <c r="J23" i="31"/>
  <c r="J25" i="31"/>
  <c r="J15" i="31"/>
  <c r="J12" i="31"/>
  <c r="J5" i="31"/>
  <c r="J20" i="31"/>
  <c r="J41" i="31"/>
  <c r="J32" i="31"/>
  <c r="J22" i="31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C49" i="24"/>
  <c r="K3" i="32" l="1"/>
  <c r="K31" i="32"/>
  <c r="K43" i="32"/>
  <c r="K24" i="32"/>
  <c r="K15" i="32"/>
  <c r="K5" i="32"/>
  <c r="K36" i="32"/>
  <c r="K28" i="32"/>
  <c r="K7" i="32"/>
  <c r="K4" i="32"/>
  <c r="K27" i="32"/>
  <c r="K8" i="32"/>
  <c r="K40" i="32"/>
  <c r="K26" i="32"/>
  <c r="K19" i="32"/>
  <c r="K18" i="32"/>
  <c r="K41" i="32"/>
  <c r="K34" i="32"/>
  <c r="K21" i="32"/>
  <c r="K38" i="32"/>
  <c r="K12" i="32"/>
  <c r="K20" i="32"/>
  <c r="K22" i="32"/>
  <c r="K11" i="32"/>
  <c r="K35" i="32"/>
  <c r="K13" i="32"/>
  <c r="K39" i="32"/>
  <c r="K29" i="32"/>
  <c r="K45" i="32"/>
  <c r="K14" i="32"/>
  <c r="K6" i="32"/>
  <c r="K23" i="32"/>
  <c r="K16" i="32"/>
  <c r="K9" i="32"/>
  <c r="K44" i="32"/>
  <c r="K33" i="32"/>
  <c r="K17" i="32"/>
  <c r="K42" i="32"/>
  <c r="K37" i="32"/>
  <c r="K10" i="32"/>
  <c r="K30" i="32"/>
  <c r="K25" i="32"/>
  <c r="K32" i="32"/>
  <c r="K41" i="31"/>
  <c r="K14" i="31"/>
  <c r="K40" i="31"/>
  <c r="K44" i="31"/>
  <c r="K30" i="31"/>
  <c r="K21" i="31"/>
  <c r="K4" i="31"/>
  <c r="K38" i="31"/>
  <c r="K20" i="31"/>
  <c r="K25" i="31"/>
  <c r="K9" i="31"/>
  <c r="K15" i="31"/>
  <c r="K5" i="31"/>
  <c r="K27" i="31"/>
  <c r="K23" i="31"/>
  <c r="K29" i="31"/>
  <c r="K42" i="31"/>
  <c r="K31" i="31"/>
  <c r="K26" i="31"/>
  <c r="K19" i="31"/>
  <c r="K3" i="31"/>
  <c r="K37" i="31"/>
  <c r="K16" i="31"/>
  <c r="K39" i="31"/>
  <c r="K17" i="31"/>
  <c r="K28" i="31"/>
  <c r="K6" i="31"/>
  <c r="K12" i="31"/>
  <c r="K18" i="31"/>
  <c r="K11" i="31"/>
  <c r="K24" i="31"/>
  <c r="K32" i="31"/>
  <c r="K10" i="31"/>
  <c r="K8" i="31"/>
  <c r="K7" i="31"/>
  <c r="K45" i="31"/>
  <c r="K43" i="31"/>
  <c r="K13" i="31"/>
  <c r="K34" i="31"/>
  <c r="K35" i="31"/>
  <c r="K36" i="31"/>
  <c r="K22" i="31"/>
  <c r="K33" i="31"/>
  <c r="C47" i="24"/>
  <c r="C50" i="24"/>
  <c r="C48" i="24"/>
  <c r="F37" i="23" l="1"/>
  <c r="F19" i="23"/>
  <c r="F36" i="23"/>
  <c r="F25" i="23"/>
  <c r="F30" i="23"/>
  <c r="F16" i="23"/>
  <c r="F24" i="23"/>
  <c r="F7" i="23"/>
  <c r="F13" i="23"/>
  <c r="F23" i="23"/>
  <c r="F9" i="23"/>
  <c r="F8" i="23"/>
  <c r="F10" i="23"/>
  <c r="F11" i="23"/>
  <c r="F26" i="23"/>
  <c r="F44" i="23"/>
  <c r="F18" i="23"/>
  <c r="F6" i="23"/>
  <c r="F3" i="23"/>
  <c r="F5" i="23"/>
  <c r="F28" i="23"/>
  <c r="F22" i="23"/>
  <c r="F43" i="23"/>
  <c r="F32" i="23"/>
  <c r="F29" i="23"/>
  <c r="F15" i="23"/>
  <c r="F40" i="23"/>
  <c r="F45" i="23"/>
  <c r="F38" i="23"/>
  <c r="F39" i="23"/>
  <c r="F20" i="23"/>
  <c r="F31" i="23"/>
  <c r="F12" i="23"/>
  <c r="F4" i="23"/>
  <c r="F27" i="23"/>
  <c r="F21" i="23"/>
  <c r="F41" i="23"/>
  <c r="F17" i="23"/>
  <c r="F33" i="23"/>
  <c r="F34" i="23"/>
  <c r="F42" i="23"/>
  <c r="F14" i="23"/>
  <c r="F35" i="23"/>
  <c r="H25" i="22" l="1"/>
  <c r="G35" i="22"/>
  <c r="C35" i="22" s="1"/>
  <c r="H24" i="22"/>
  <c r="H36" i="22"/>
  <c r="G36" i="22"/>
  <c r="C36" i="22" s="1"/>
  <c r="H32" i="22"/>
  <c r="H41" i="22"/>
  <c r="G13" i="22"/>
  <c r="C13" i="22" s="1"/>
  <c r="G44" i="22"/>
  <c r="C44" i="22" s="1"/>
  <c r="H7" i="22"/>
  <c r="H34" i="22"/>
  <c r="G23" i="22"/>
  <c r="C23" i="22" s="1"/>
  <c r="H12" i="22"/>
  <c r="G24" i="22"/>
  <c r="C24" i="22" s="1"/>
  <c r="H13" i="22"/>
  <c r="G41" i="22"/>
  <c r="C41" i="22" s="1"/>
  <c r="H26" i="22"/>
  <c r="G31" i="22"/>
  <c r="C31" i="22" s="1"/>
  <c r="G15" i="22"/>
  <c r="C15" i="22" s="1"/>
  <c r="H45" i="22"/>
  <c r="H11" i="22"/>
  <c r="G11" i="22"/>
  <c r="C11" i="22" s="1"/>
  <c r="G12" i="22"/>
  <c r="C12" i="22" s="1"/>
  <c r="H28" i="22"/>
  <c r="G32" i="22"/>
  <c r="C32" i="22" s="1"/>
  <c r="G28" i="22"/>
  <c r="C28" i="22" s="1"/>
  <c r="H20" i="22"/>
  <c r="H15" i="22"/>
  <c r="H37" i="22"/>
  <c r="G19" i="22"/>
  <c r="C19" i="22" s="1"/>
  <c r="G37" i="22"/>
  <c r="C37" i="22" s="1"/>
  <c r="G21" i="22"/>
  <c r="C21" i="22" s="1"/>
  <c r="H42" i="22"/>
  <c r="H29" i="22"/>
  <c r="G34" i="22"/>
  <c r="C34" i="22" s="1"/>
  <c r="H10" i="22"/>
  <c r="H22" i="22"/>
  <c r="H21" i="22"/>
  <c r="H23" i="22"/>
  <c r="H5" i="22"/>
  <c r="G10" i="22"/>
  <c r="C10" i="22" s="1"/>
  <c r="H27" i="22"/>
  <c r="G30" i="22"/>
  <c r="C30" i="22" s="1"/>
  <c r="G14" i="22"/>
  <c r="C14" i="22" s="1"/>
  <c r="G43" i="22"/>
  <c r="C43" i="22" s="1"/>
  <c r="G33" i="22"/>
  <c r="C33" i="22" s="1"/>
  <c r="G8" i="22"/>
  <c r="C8" i="22" s="1"/>
  <c r="G6" i="22"/>
  <c r="C6" i="22" s="1"/>
  <c r="H40" i="22"/>
  <c r="H38" i="22"/>
  <c r="H6" i="22"/>
  <c r="G20" i="22"/>
  <c r="C20" i="22" s="1"/>
  <c r="G4" i="22"/>
  <c r="C4" i="22" s="1"/>
  <c r="G40" i="22"/>
  <c r="C40" i="22" s="1"/>
  <c r="H31" i="22"/>
  <c r="G45" i="22"/>
  <c r="C45" i="22" s="1"/>
  <c r="H16" i="22"/>
  <c r="H2" i="22"/>
  <c r="H30" i="22"/>
  <c r="G17" i="22"/>
  <c r="C17" i="22" s="1"/>
  <c r="H4" i="22"/>
  <c r="G27" i="22"/>
  <c r="C27" i="22" s="1"/>
  <c r="H19" i="22"/>
  <c r="H9" i="22"/>
  <c r="G39" i="22"/>
  <c r="C39" i="22" s="1"/>
  <c r="G5" i="22"/>
  <c r="C5" i="22" s="1"/>
  <c r="G3" i="22"/>
  <c r="C3" i="22" s="1"/>
  <c r="H44" i="22"/>
  <c r="H43" i="22"/>
  <c r="H14" i="22"/>
  <c r="G22" i="22"/>
  <c r="C22" i="22" s="1"/>
  <c r="H18" i="22"/>
  <c r="G42" i="22"/>
  <c r="C42" i="22" s="1"/>
  <c r="G26" i="22"/>
  <c r="C26" i="22" s="1"/>
  <c r="H8" i="22"/>
  <c r="G25" i="22"/>
  <c r="C25" i="22" s="1"/>
  <c r="G7" i="22"/>
  <c r="C7" i="22" s="1"/>
  <c r="H33" i="22"/>
  <c r="H17" i="22"/>
  <c r="H39" i="22"/>
  <c r="G9" i="22"/>
  <c r="C9" i="22" s="1"/>
  <c r="H3" i="22"/>
  <c r="H35" i="22"/>
  <c r="G18" i="22"/>
  <c r="C18" i="22" s="1"/>
  <c r="G38" i="22"/>
  <c r="C38" i="22" s="1"/>
  <c r="G16" i="22"/>
  <c r="C16" i="22" s="1"/>
  <c r="G29" i="22"/>
  <c r="C29" i="22" s="1"/>
  <c r="C5" i="28" l="1"/>
  <c r="C5" i="30"/>
  <c r="C31" i="30"/>
  <c r="C31" i="28"/>
  <c r="C7" i="30"/>
  <c r="C7" i="28"/>
  <c r="C10" i="28"/>
  <c r="C10" i="30"/>
  <c r="C40" i="28"/>
  <c r="C40" i="30"/>
  <c r="C29" i="28"/>
  <c r="C29" i="30"/>
  <c r="C26" i="28"/>
  <c r="C26" i="30"/>
  <c r="C32" i="30"/>
  <c r="C32" i="28"/>
  <c r="C16" i="28"/>
  <c r="C16" i="30"/>
  <c r="C35" i="28"/>
  <c r="C35" i="30"/>
  <c r="C18" i="28"/>
  <c r="C18" i="30"/>
  <c r="C6" i="30"/>
  <c r="C6" i="28"/>
  <c r="C22" i="28"/>
  <c r="C22" i="30"/>
  <c r="C12" i="30"/>
  <c r="C12" i="28"/>
  <c r="C33" i="30"/>
  <c r="C33" i="28"/>
  <c r="C44" i="30"/>
  <c r="C44" i="28"/>
  <c r="C19" i="30"/>
  <c r="C19" i="28"/>
  <c r="C39" i="28"/>
  <c r="C39" i="30"/>
  <c r="C4" i="28"/>
  <c r="C4" i="30"/>
  <c r="C36" i="30"/>
  <c r="C36" i="28"/>
  <c r="C25" i="30"/>
  <c r="C25" i="28"/>
  <c r="C28" i="28"/>
  <c r="C28" i="30"/>
  <c r="C42" i="28"/>
  <c r="C42" i="30"/>
  <c r="C23" i="28"/>
  <c r="C23" i="30"/>
  <c r="C8" i="30"/>
  <c r="C8" i="28"/>
  <c r="C2" i="30"/>
  <c r="C2" i="28"/>
  <c r="C45" i="30"/>
  <c r="C45" i="28"/>
  <c r="C21" i="30"/>
  <c r="C21" i="28"/>
  <c r="C13" i="30"/>
  <c r="C13" i="28"/>
  <c r="C20" i="30"/>
  <c r="C20" i="28"/>
  <c r="C41" i="28"/>
  <c r="C41" i="30"/>
  <c r="C27" i="28"/>
  <c r="C27" i="30"/>
  <c r="C24" i="30"/>
  <c r="C24" i="28"/>
  <c r="C38" i="28"/>
  <c r="C38" i="30"/>
  <c r="C17" i="28"/>
  <c r="C17" i="30"/>
  <c r="C34" i="28"/>
  <c r="C34" i="30"/>
  <c r="C11" i="28"/>
  <c r="C11" i="30"/>
  <c r="C9" i="30"/>
  <c r="C9" i="28"/>
  <c r="C43" i="30"/>
  <c r="C43" i="28"/>
  <c r="C14" i="28"/>
  <c r="C14" i="30"/>
  <c r="C3" i="28"/>
  <c r="C3" i="30"/>
  <c r="C30" i="30"/>
  <c r="C30" i="28"/>
  <c r="C37" i="30"/>
  <c r="C37" i="28"/>
  <c r="C15" i="28"/>
  <c r="C15" i="30"/>
  <c r="C30" i="29" l="1"/>
  <c r="F30" i="28"/>
  <c r="C20" i="29"/>
  <c r="F20" i="28"/>
  <c r="F34" i="28"/>
  <c r="C34" i="29"/>
  <c r="O6" i="30"/>
  <c r="O40" i="30"/>
  <c r="C42" i="29"/>
  <c r="F42" i="28"/>
  <c r="C40" i="29"/>
  <c r="F40" i="28"/>
  <c r="C38" i="29"/>
  <c r="F38" i="28"/>
  <c r="F23" i="28"/>
  <c r="C23" i="29"/>
  <c r="F13" i="28"/>
  <c r="C13" i="29"/>
  <c r="C19" i="29"/>
  <c r="F19" i="28"/>
  <c r="C17" i="29"/>
  <c r="F17" i="28"/>
  <c r="C18" i="29"/>
  <c r="F18" i="28"/>
  <c r="F21" i="28"/>
  <c r="C21" i="29"/>
  <c r="F14" i="28"/>
  <c r="C14" i="29"/>
  <c r="C28" i="29"/>
  <c r="F28" i="28"/>
  <c r="F10" i="28"/>
  <c r="C10" i="29"/>
  <c r="F45" i="28"/>
  <c r="C45" i="29"/>
  <c r="O16" i="30"/>
  <c r="C16" i="29"/>
  <c r="F16" i="28"/>
  <c r="F9" i="28"/>
  <c r="C9" i="29"/>
  <c r="F27" i="28"/>
  <c r="C27" i="29"/>
  <c r="O31" i="30"/>
  <c r="F29" i="28"/>
  <c r="C29" i="29"/>
  <c r="O17" i="30"/>
  <c r="O18" i="30"/>
  <c r="C44" i="29"/>
  <c r="F44" i="28"/>
  <c r="O21" i="30"/>
  <c r="F35" i="28"/>
  <c r="C35" i="29"/>
  <c r="F24" i="28"/>
  <c r="C24" i="29"/>
  <c r="C25" i="29"/>
  <c r="F25" i="28"/>
  <c r="C7" i="29"/>
  <c r="F7" i="28"/>
  <c r="O33" i="30"/>
  <c r="O15" i="30"/>
  <c r="F2" i="28"/>
  <c r="C2" i="29"/>
  <c r="C32" i="29"/>
  <c r="F32" i="28"/>
  <c r="N28" i="30"/>
  <c r="I33" i="30"/>
  <c r="I34" i="30"/>
  <c r="I25" i="30"/>
  <c r="N8" i="30"/>
  <c r="N34" i="30"/>
  <c r="N2" i="30"/>
  <c r="I19" i="30"/>
  <c r="I45" i="30"/>
  <c r="N19" i="30"/>
  <c r="I38" i="30"/>
  <c r="N9" i="30"/>
  <c r="I2" i="30"/>
  <c r="N14" i="30"/>
  <c r="N13" i="30"/>
  <c r="O13" i="30" s="1"/>
  <c r="N32" i="30"/>
  <c r="I5" i="30"/>
  <c r="N44" i="30"/>
  <c r="I17" i="30"/>
  <c r="N4" i="30"/>
  <c r="I24" i="30"/>
  <c r="N10" i="30"/>
  <c r="O10" i="30" s="1"/>
  <c r="N39" i="30"/>
  <c r="O39" i="30" s="1"/>
  <c r="N16" i="30"/>
  <c r="I31" i="30"/>
  <c r="N40" i="30"/>
  <c r="I8" i="30"/>
  <c r="N35" i="30"/>
  <c r="N31" i="30"/>
  <c r="N23" i="30"/>
  <c r="N21" i="30"/>
  <c r="I14" i="30"/>
  <c r="N26" i="30"/>
  <c r="I39" i="30"/>
  <c r="N43" i="30"/>
  <c r="I27" i="30"/>
  <c r="N33" i="30"/>
  <c r="N11" i="30"/>
  <c r="N38" i="30"/>
  <c r="O38" i="30" s="1"/>
  <c r="I4" i="30"/>
  <c r="I11" i="30"/>
  <c r="N24" i="30"/>
  <c r="N45" i="30"/>
  <c r="N12" i="30"/>
  <c r="O12" i="30" s="1"/>
  <c r="I6" i="30"/>
  <c r="I40" i="30"/>
  <c r="I23" i="30"/>
  <c r="I28" i="30"/>
  <c r="I13" i="30"/>
  <c r="I18" i="30"/>
  <c r="I26" i="30"/>
  <c r="N15" i="30"/>
  <c r="N42" i="30"/>
  <c r="I43" i="30"/>
  <c r="N27" i="30"/>
  <c r="I9" i="30"/>
  <c r="I10" i="30"/>
  <c r="N36" i="30"/>
  <c r="I29" i="30"/>
  <c r="I21" i="30"/>
  <c r="N22" i="30"/>
  <c r="I20" i="30"/>
  <c r="I32" i="30"/>
  <c r="I44" i="30"/>
  <c r="N5" i="30"/>
  <c r="N6" i="30"/>
  <c r="I35" i="30"/>
  <c r="N7" i="30"/>
  <c r="I37" i="30"/>
  <c r="N25" i="30"/>
  <c r="I30" i="30"/>
  <c r="N17" i="30"/>
  <c r="N18" i="30"/>
  <c r="N20" i="30"/>
  <c r="I12" i="30"/>
  <c r="I3" i="30"/>
  <c r="N37" i="30"/>
  <c r="I42" i="30"/>
  <c r="N29" i="30"/>
  <c r="N30" i="30"/>
  <c r="I16" i="30"/>
  <c r="N41" i="30"/>
  <c r="I15" i="30"/>
  <c r="I41" i="30"/>
  <c r="I22" i="30"/>
  <c r="I7" i="30"/>
  <c r="N3" i="30"/>
  <c r="O3" i="30" s="1"/>
  <c r="I36" i="30"/>
  <c r="O32" i="30"/>
  <c r="O11" i="30"/>
  <c r="O41" i="30"/>
  <c r="C8" i="29"/>
  <c r="F8" i="28"/>
  <c r="O22" i="30"/>
  <c r="C6" i="29"/>
  <c r="F6" i="28"/>
  <c r="F39" i="28"/>
  <c r="C39" i="29"/>
  <c r="C3" i="29"/>
  <c r="F3" i="28"/>
  <c r="O14" i="30"/>
  <c r="O28" i="30"/>
  <c r="O35" i="30"/>
  <c r="O44" i="30"/>
  <c r="C43" i="29"/>
  <c r="F43" i="28"/>
  <c r="F33" i="28"/>
  <c r="C33" i="29"/>
  <c r="O43" i="30"/>
  <c r="F36" i="28"/>
  <c r="C36" i="29"/>
  <c r="F12" i="28"/>
  <c r="C12" i="29"/>
  <c r="C31" i="29"/>
  <c r="F31" i="28"/>
  <c r="F15" i="28"/>
  <c r="C15" i="29"/>
  <c r="F37" i="28"/>
  <c r="C37" i="29"/>
  <c r="F11" i="28"/>
  <c r="C11" i="29"/>
  <c r="C41" i="29"/>
  <c r="F41" i="28"/>
  <c r="O8" i="30"/>
  <c r="C4" i="29"/>
  <c r="F4" i="28"/>
  <c r="F22" i="28"/>
  <c r="C22" i="29"/>
  <c r="F26" i="28"/>
  <c r="C26" i="29"/>
  <c r="C5" i="29"/>
  <c r="F5" i="28"/>
  <c r="J22" i="29" l="1"/>
  <c r="J15" i="29"/>
  <c r="J40" i="30"/>
  <c r="J39" i="30"/>
  <c r="J33" i="29"/>
  <c r="J14" i="30"/>
  <c r="J9" i="29"/>
  <c r="J42" i="30"/>
  <c r="J44" i="29"/>
  <c r="J34" i="29"/>
  <c r="J37" i="30"/>
  <c r="K21" i="30" s="1"/>
  <c r="J45" i="30"/>
  <c r="J27" i="29"/>
  <c r="J42" i="29"/>
  <c r="J19" i="30"/>
  <c r="O36" i="30"/>
  <c r="J43" i="30"/>
  <c r="L43" i="30"/>
  <c r="O23" i="30"/>
  <c r="O2" i="30"/>
  <c r="O24" i="30"/>
  <c r="J16" i="30"/>
  <c r="J24" i="30"/>
  <c r="I16" i="29"/>
  <c r="I10" i="29"/>
  <c r="I33" i="29"/>
  <c r="I32" i="29"/>
  <c r="J32" i="29" s="1"/>
  <c r="I4" i="29"/>
  <c r="J4" i="29" s="1"/>
  <c r="I31" i="29"/>
  <c r="I29" i="29"/>
  <c r="I36" i="29"/>
  <c r="I39" i="29"/>
  <c r="I7" i="29"/>
  <c r="I26" i="29"/>
  <c r="I12" i="29"/>
  <c r="J12" i="29" s="1"/>
  <c r="I42" i="29"/>
  <c r="I5" i="29"/>
  <c r="I20" i="29"/>
  <c r="I2" i="29"/>
  <c r="I43" i="29"/>
  <c r="I40" i="29"/>
  <c r="I11" i="29"/>
  <c r="I24" i="29"/>
  <c r="I17" i="29"/>
  <c r="I38" i="29"/>
  <c r="I8" i="29"/>
  <c r="J8" i="29" s="1"/>
  <c r="I3" i="29"/>
  <c r="I44" i="29"/>
  <c r="I27" i="29"/>
  <c r="I28" i="29"/>
  <c r="I35" i="29"/>
  <c r="I13" i="29"/>
  <c r="I45" i="29"/>
  <c r="I15" i="29"/>
  <c r="I14" i="29"/>
  <c r="I23" i="29"/>
  <c r="I6" i="29"/>
  <c r="I22" i="29"/>
  <c r="I21" i="29"/>
  <c r="I19" i="29"/>
  <c r="I30" i="29"/>
  <c r="I25" i="29"/>
  <c r="I37" i="29"/>
  <c r="I9" i="29"/>
  <c r="I18" i="29"/>
  <c r="I41" i="29"/>
  <c r="I34" i="29"/>
  <c r="J2" i="29"/>
  <c r="J19" i="29"/>
  <c r="O30" i="30"/>
  <c r="J9" i="30"/>
  <c r="J35" i="30"/>
  <c r="J17" i="30"/>
  <c r="J11" i="30"/>
  <c r="J5" i="30"/>
  <c r="L20" i="30" s="1"/>
  <c r="J36" i="29"/>
  <c r="O5" i="30"/>
  <c r="J36" i="30"/>
  <c r="J3" i="30"/>
  <c r="L39" i="30" s="1"/>
  <c r="J44" i="30"/>
  <c r="J4" i="30"/>
  <c r="J25" i="30"/>
  <c r="J16" i="29"/>
  <c r="J8" i="30"/>
  <c r="J6" i="30"/>
  <c r="J20" i="29"/>
  <c r="J5" i="29"/>
  <c r="O37" i="30"/>
  <c r="O7" i="30"/>
  <c r="O4" i="30"/>
  <c r="J22" i="30"/>
  <c r="J13" i="30"/>
  <c r="L3" i="30" s="1"/>
  <c r="J31" i="30"/>
  <c r="J2" i="30"/>
  <c r="J25" i="29"/>
  <c r="O34" i="30"/>
  <c r="J41" i="30"/>
  <c r="J21" i="30"/>
  <c r="J28" i="30"/>
  <c r="J27" i="30"/>
  <c r="O9" i="30"/>
  <c r="J24" i="29"/>
  <c r="J10" i="30"/>
  <c r="J11" i="29"/>
  <c r="O26" i="30"/>
  <c r="J12" i="30"/>
  <c r="J32" i="30"/>
  <c r="L32" i="30"/>
  <c r="J26" i="30"/>
  <c r="J34" i="30"/>
  <c r="J7" i="29"/>
  <c r="O25" i="30"/>
  <c r="O29" i="30"/>
  <c r="O27" i="30"/>
  <c r="O19" i="30"/>
  <c r="J7" i="30"/>
  <c r="J20" i="30"/>
  <c r="J18" i="30"/>
  <c r="L18" i="30"/>
  <c r="J33" i="30"/>
  <c r="J37" i="29"/>
  <c r="O45" i="30"/>
  <c r="O42" i="30"/>
  <c r="J15" i="30"/>
  <c r="J30" i="30"/>
  <c r="J29" i="30"/>
  <c r="K29" i="30"/>
  <c r="J23" i="30"/>
  <c r="J38" i="30"/>
  <c r="O20" i="30"/>
  <c r="J10" i="29"/>
  <c r="J40" i="29"/>
  <c r="J30" i="29"/>
  <c r="K27" i="30" l="1"/>
  <c r="K19" i="30"/>
  <c r="J26" i="29"/>
  <c r="K34" i="30"/>
  <c r="K12" i="30"/>
  <c r="K6" i="30"/>
  <c r="J38" i="29"/>
  <c r="K36" i="29" s="1"/>
  <c r="L16" i="30"/>
  <c r="L38" i="30"/>
  <c r="K30" i="30"/>
  <c r="L33" i="30"/>
  <c r="K20" i="30"/>
  <c r="L34" i="30"/>
  <c r="L12" i="30"/>
  <c r="K2" i="30"/>
  <c r="L22" i="30"/>
  <c r="K36" i="30"/>
  <c r="L11" i="30"/>
  <c r="L35" i="30"/>
  <c r="J17" i="29"/>
  <c r="L14" i="29" s="1"/>
  <c r="K39" i="29"/>
  <c r="K16" i="30"/>
  <c r="K38" i="30"/>
  <c r="L30" i="30"/>
  <c r="K33" i="30"/>
  <c r="K41" i="30"/>
  <c r="L2" i="30"/>
  <c r="K22" i="30"/>
  <c r="L36" i="30"/>
  <c r="K11" i="30"/>
  <c r="K35" i="30"/>
  <c r="J14" i="29"/>
  <c r="K11" i="29" s="1"/>
  <c r="L41" i="30"/>
  <c r="K24" i="30"/>
  <c r="K4" i="30"/>
  <c r="J39" i="29"/>
  <c r="K45" i="29"/>
  <c r="L45" i="29"/>
  <c r="L40" i="29"/>
  <c r="J31" i="29"/>
  <c r="K30" i="29" s="1"/>
  <c r="L31" i="29"/>
  <c r="J23" i="29"/>
  <c r="K18" i="29" s="1"/>
  <c r="K25" i="30"/>
  <c r="L17" i="30"/>
  <c r="L3" i="29"/>
  <c r="L24" i="30"/>
  <c r="L19" i="30"/>
  <c r="L29" i="30"/>
  <c r="L6" i="30"/>
  <c r="K3" i="30"/>
  <c r="K17" i="30"/>
  <c r="K37" i="29"/>
  <c r="L37" i="29"/>
  <c r="K45" i="30"/>
  <c r="K35" i="29"/>
  <c r="L2" i="29"/>
  <c r="J21" i="29"/>
  <c r="L18" i="29" s="1"/>
  <c r="K44" i="30"/>
  <c r="J41" i="29"/>
  <c r="L36" i="29" s="1"/>
  <c r="K33" i="29"/>
  <c r="L33" i="29"/>
  <c r="J28" i="29"/>
  <c r="K23" i="29" s="1"/>
  <c r="L10" i="30"/>
  <c r="J45" i="29"/>
  <c r="L44" i="29" s="1"/>
  <c r="L13" i="30"/>
  <c r="L44" i="30"/>
  <c r="L5" i="30"/>
  <c r="L9" i="30"/>
  <c r="L30" i="29"/>
  <c r="K37" i="30"/>
  <c r="L42" i="30"/>
  <c r="K14" i="30"/>
  <c r="L40" i="30"/>
  <c r="L15" i="30"/>
  <c r="K7" i="30"/>
  <c r="L27" i="30"/>
  <c r="L31" i="30"/>
  <c r="L8" i="30"/>
  <c r="L4" i="30"/>
  <c r="J13" i="29"/>
  <c r="L9" i="29" s="1"/>
  <c r="K15" i="30"/>
  <c r="L7" i="30"/>
  <c r="J3" i="29"/>
  <c r="K31" i="30"/>
  <c r="K8" i="30"/>
  <c r="J43" i="29"/>
  <c r="L41" i="29" s="1"/>
  <c r="K39" i="30"/>
  <c r="L26" i="30"/>
  <c r="L28" i="30"/>
  <c r="K32" i="29"/>
  <c r="L32" i="29"/>
  <c r="L45" i="30"/>
  <c r="J35" i="29"/>
  <c r="K31" i="29" s="1"/>
  <c r="K23" i="30"/>
  <c r="K26" i="30"/>
  <c r="K10" i="30"/>
  <c r="K28" i="30"/>
  <c r="J18" i="29"/>
  <c r="K16" i="29" s="1"/>
  <c r="L23" i="30"/>
  <c r="K29" i="29"/>
  <c r="K18" i="30"/>
  <c r="K32" i="30"/>
  <c r="L21" i="30"/>
  <c r="J29" i="29"/>
  <c r="K28" i="29" s="1"/>
  <c r="K13" i="30"/>
  <c r="L25" i="30"/>
  <c r="K5" i="30"/>
  <c r="J6" i="29"/>
  <c r="L5" i="29" s="1"/>
  <c r="K9" i="30"/>
  <c r="K19" i="29"/>
  <c r="L42" i="29"/>
  <c r="K43" i="30"/>
  <c r="L37" i="30"/>
  <c r="K42" i="30"/>
  <c r="L14" i="30"/>
  <c r="K40" i="30"/>
  <c r="L19" i="29" l="1"/>
  <c r="L39" i="29"/>
  <c r="L7" i="29"/>
  <c r="L24" i="29"/>
  <c r="L28" i="29"/>
  <c r="L35" i="29"/>
  <c r="K22" i="29"/>
  <c r="K12" i="29"/>
  <c r="L29" i="29"/>
  <c r="K7" i="29"/>
  <c r="K24" i="29"/>
  <c r="L20" i="29"/>
  <c r="L13" i="29"/>
  <c r="L25" i="29"/>
  <c r="L22" i="29"/>
  <c r="K3" i="29"/>
  <c r="K40" i="29"/>
  <c r="L38" i="29"/>
  <c r="K34" i="29"/>
  <c r="L34" i="29"/>
  <c r="K10" i="29"/>
  <c r="K21" i="29"/>
  <c r="L15" i="29"/>
  <c r="K17" i="29"/>
  <c r="L21" i="29"/>
  <c r="K15" i="29"/>
  <c r="L10" i="29"/>
  <c r="L17" i="29"/>
  <c r="L26" i="29"/>
  <c r="L12" i="29"/>
  <c r="L11" i="29"/>
  <c r="K5" i="29"/>
  <c r="L16" i="29"/>
  <c r="K13" i="29"/>
  <c r="K27" i="29"/>
  <c r="L43" i="29"/>
  <c r="K20" i="29"/>
  <c r="K41" i="29"/>
  <c r="L23" i="29"/>
  <c r="K26" i="29"/>
  <c r="L4" i="29"/>
  <c r="K42" i="29"/>
  <c r="K4" i="29"/>
  <c r="L8" i="29"/>
  <c r="L27" i="29"/>
  <c r="K9" i="29"/>
  <c r="L6" i="29"/>
  <c r="K38" i="29"/>
  <c r="K14" i="29"/>
  <c r="K6" i="29"/>
  <c r="K43" i="29"/>
  <c r="K44" i="29"/>
  <c r="K8" i="29"/>
  <c r="K25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49083-F394-744D-9489-BF67C724E14D}" keepAlive="1" name="Query - Final_std_lv3" description="Connection to the 'Final_std_lv3' query in the workbook." type="5" refreshedVersion="8" background="1" saveData="1">
    <dbPr connection="Provider=Microsoft.Mashup.OleDb.1;Data Source=$Workbook$;Location=Final_std_lv3;Extended Properties=&quot;&quot;" command="SELECT * FROM [Final_std_lv3]"/>
  </connection>
  <connection id="2" xr16:uid="{04CEA668-6F43-254C-8D1B-F18BC1B20222}" keepAlive="1" name="Query - Final_std_lv3 (2)" description="Connection to the 'Final_std_lv3 (2)' query in the workbook." type="5" refreshedVersion="8" background="1" saveData="1">
    <dbPr connection="Provider=Microsoft.Mashup.OleDb.1;Data Source=$Workbook$;Location=&quot;Final_std_lv3 (2)&quot;;Extended Properties=&quot;&quot;" command="SELECT * FROM [Final_std_lv3 (2)]"/>
  </connection>
  <connection id="3" xr16:uid="{20C27ADB-B71B-7049-9609-9D13720FD691}" keepAlive="1" name="Query - Final_std_lv3 (3)" description="Connection to the 'Final_std_lv3 (3)' query in the workbook." type="5" refreshedVersion="8" background="1" saveData="1">
    <dbPr connection="Provider=Microsoft.Mashup.OleDb.1;Data Source=$Workbook$;Location=&quot;Final_std_lv3 (3)&quot;;Extended Properties=&quot;&quot;" command="SELECT * FROM [Final_std_lv3 (3)]"/>
  </connection>
  <connection id="4" xr16:uid="{307C4FA0-2A16-DA4A-AFBF-B6C445EE4BE5}" keepAlive="1" name="Query - Final_std_lv3 (4)" description="Connection to the 'Final_std_lv3 (4)' query in the workbook." type="5" refreshedVersion="8" background="1" saveData="1">
    <dbPr connection="Provider=Microsoft.Mashup.OleDb.1;Data Source=$Workbook$;Location=&quot;Final_std_lv3 (4)&quot;;Extended Properties=&quot;&quot;" command="SELECT * FROM [Final_std_lv3 (4)]"/>
  </connection>
  <connection id="5" xr16:uid="{8B444D7B-C323-4D4D-B31A-C344D286CFC9}" keepAlive="1" name="Query - Final_std_lv3 (5)" description="Connection to the 'Final_std_lv3 (5)' query in the workbook." type="5" refreshedVersion="8" background="1" saveData="1">
    <dbPr connection="Provider=Microsoft.Mashup.OleDb.1;Data Source=$Workbook$;Location=&quot;Final_std_lv3 (5)&quot;;Extended Properties=&quot;&quot;" command="SELECT * FROM [Final_std_lv3 (5)]"/>
  </connection>
  <connection id="6" xr16:uid="{380B798E-9C35-5E48-A430-08DBFCCD9839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7" xr16:uid="{FD0A0D6A-E1BC-EB42-83EE-9A8F11EB1C6D}" keepAlive="1" name="Query - Pillar 1" description="Connection to the 'Pillar 1' query in the workbook." type="5" refreshedVersion="8" background="1" saveData="1">
    <dbPr connection="Provider=Microsoft.Mashup.OleDb.1;Data Source=$Workbook$;Location=&quot;Pillar 1&quot;;Extended Properties=&quot;&quot;" command="SELECT * FROM [Pillar 1]"/>
  </connection>
  <connection id="8" xr16:uid="{03FDC729-79B1-6946-BD74-0F94699D59E5}" keepAlive="1" name="Query - Pillar 2" description="Connection to the 'Pillar 2' query in the workbook." type="5" refreshedVersion="8" background="1" saveData="1">
    <dbPr connection="Provider=Microsoft.Mashup.OleDb.1;Data Source=$Workbook$;Location=&quot;Pillar 2&quot;;Extended Properties=&quot;&quot;" command="SELECT * FROM [Pillar 2]"/>
  </connection>
  <connection id="9" xr16:uid="{604380B5-3A9B-3F42-915B-06D6708D3F78}" keepAlive="1" name="Query - Pillar 3" description="Connection to the 'Pillar 3' query in the workbook." type="5" refreshedVersion="8" background="1" saveData="1">
    <dbPr connection="Provider=Microsoft.Mashup.OleDb.1;Data Source=$Workbook$;Location=&quot;Pillar 3&quot;;Extended Properties=&quot;&quot;" command="SELECT * FROM [Pillar 3]"/>
  </connection>
  <connection id="10" xr16:uid="{93959002-E86B-7C4A-9741-25229DCD959A}" keepAlive="1" name="Query - Pillar1_quarterly" description="Connection to the 'Pillar1_quarterly' query in the workbook." type="5" refreshedVersion="8" background="1" saveData="1">
    <dbPr connection="Provider=Microsoft.Mashup.OleDb.1;Data Source=$Workbook$;Location=Pillar1_quarterly;Extended Properties=&quot;&quot;" command="SELECT * FROM [Pillar1_quarterly]"/>
  </connection>
  <connection id="11" xr16:uid="{4845A640-36E9-EF4B-A8D6-03FFEA0430DF}" keepAlive="1" name="Query - Pillar1_quarterly (2)" description="Connection to the 'Pillar1_quarterly (2)' query in the workbook." type="5" refreshedVersion="8" background="1" saveData="1">
    <dbPr connection="Provider=Microsoft.Mashup.OleDb.1;Data Source=$Workbook$;Location=&quot;Pillar1_quarterly (2)&quot;;Extended Properties=&quot;&quot;" command="SELECT * FROM [Pillar1_quarterly (2)]"/>
  </connection>
  <connection id="12" xr16:uid="{B8C96729-0031-B14D-8624-5ACC76D80F70}" keepAlive="1" name="Query - Pillar1_quarterly (3)" description="Connection to the 'Pillar1_quarterly (3)' query in the workbook." type="5" refreshedVersion="8" background="1" saveData="1">
    <dbPr connection="Provider=Microsoft.Mashup.OleDb.1;Data Source=$Workbook$;Location=&quot;Pillar1_quarterly (3)&quot;;Extended Properties=&quot;&quot;" command="SELECT * FROM [Pillar1_quarterly (3)]"/>
  </connection>
  <connection id="13" xr16:uid="{09652BE7-731B-8147-A75D-2DA3B78DB7B0}" keepAlive="1" name="Query - Pillar1_quarterly (4)" description="Connection to the 'Pillar1_quarterly (4)' query in the workbook." type="5" refreshedVersion="8" background="1" saveData="1">
    <dbPr connection="Provider=Microsoft.Mashup.OleDb.1;Data Source=$Workbook$;Location=&quot;Pillar1_quarterly (4)&quot;;Extended Properties=&quot;&quot;" command="SELECT * FROM [Pillar1_quarterly (4)]"/>
  </connection>
  <connection id="14" xr16:uid="{6DAC9153-A9B2-684F-BED9-C4AC1136B56B}" keepAlive="1" name="Query - Pillar1_quarterly (5)" description="Connection to the 'Pillar1_quarterly (5)' query in the workbook." type="5" refreshedVersion="8" background="1" saveData="1">
    <dbPr connection="Provider=Microsoft.Mashup.OleDb.1;Data Source=$Workbook$;Location=&quot;Pillar1_quarterly (5)&quot;;Extended Properties=&quot;&quot;" command="SELECT * FROM [Pillar1_quarterly (5)]"/>
  </connection>
  <connection id="15" xr16:uid="{74C97C96-4A36-6D4A-AD83-6681127DD4F0}" keepAlive="1" name="Query - Pillar1_std_lv2" description="Connection to the 'Pillar1_std_lv2' query in the workbook." type="5" refreshedVersion="8" background="1" saveData="1">
    <dbPr connection="Provider=Microsoft.Mashup.OleDb.1;Data Source=$Workbook$;Location=Pillar1_std_lv2;Extended Properties=&quot;&quot;" command="SELECT * FROM [Pillar1_std_lv2]"/>
  </connection>
  <connection id="16" xr16:uid="{A04D10CA-C3F9-424A-BD32-6604C0BD5265}" keepAlive="1" name="Query - Pillar2_quarterly" description="Connection to the 'Pillar2_quarterly' query in the workbook." type="5" refreshedVersion="8" background="1" saveData="1">
    <dbPr connection="Provider=Microsoft.Mashup.OleDb.1;Data Source=$Workbook$;Location=Pillar2_quarterly;Extended Properties=&quot;&quot;" command="SELECT * FROM [Pillar2_quarterly]"/>
  </connection>
  <connection id="17" xr16:uid="{1E790E02-36C9-454C-80A8-53C1F77432AD}" keepAlive="1" name="Query - Pillar2_quarterly (2)" description="Connection to the 'Pillar2_quarterly (2)' query in the workbook." type="5" refreshedVersion="8" background="1" saveData="1">
    <dbPr connection="Provider=Microsoft.Mashup.OleDb.1;Data Source=$Workbook$;Location=&quot;Pillar2_quarterly (2)&quot;;Extended Properties=&quot;&quot;" command="SELECT * FROM [Pillar2_quarterly (2)]"/>
  </connection>
  <connection id="18" xr16:uid="{02CCBA20-B979-3B46-9E73-D826DCBE4D19}" keepAlive="1" name="Query - Pillar2_quarterly (3)" description="Connection to the 'Pillar2_quarterly (3)' query in the workbook." type="5" refreshedVersion="8" background="1" saveData="1">
    <dbPr connection="Provider=Microsoft.Mashup.OleDb.1;Data Source=$Workbook$;Location=&quot;Pillar2_quarterly (3)&quot;;Extended Properties=&quot;&quot;" command="SELECT * FROM [Pillar2_quarterly (3)]"/>
  </connection>
  <connection id="19" xr16:uid="{FEFC331F-52E3-C24E-8C7C-803E2CB78D9E}" keepAlive="1" name="Query - Pillar2_std_lv2" description="Connection to the 'Pillar2_std_lv2' query in the workbook." type="5" refreshedVersion="8" background="1" saveData="1">
    <dbPr connection="Provider=Microsoft.Mashup.OleDb.1;Data Source=$Workbook$;Location=Pillar2_std_lv2;Extended Properties=&quot;&quot;" command="SELECT * FROM [Pillar2_std_lv2]"/>
  </connection>
  <connection id="20" xr16:uid="{5AE9F5DD-5902-0640-B040-3FFA72C80BB8}" keepAlive="1" name="Query - Pillar3_quarterly" description="Connection to the 'Pillar3_quarterly' query in the workbook." type="5" refreshedVersion="8" background="1" saveData="1">
    <dbPr connection="Provider=Microsoft.Mashup.OleDb.1;Data Source=$Workbook$;Location=Pillar3_quarterly;Extended Properties=&quot;&quot;" command="SELECT * FROM [Pillar3_quarterly]"/>
  </connection>
  <connection id="21" xr16:uid="{89D34984-D270-8B4B-BB70-6232904D9C71}" keepAlive="1" name="Query - Pillar3_quarterly (2)" description="Connection to the 'Pillar3_quarterly (2)' query in the workbook." type="5" refreshedVersion="8" background="1" saveData="1">
    <dbPr connection="Provider=Microsoft.Mashup.OleDb.1;Data Source=$Workbook$;Location=&quot;Pillar3_quarterly (2)&quot;;Extended Properties=&quot;&quot;" command="SELECT * FROM [Pillar3_quarterly (2)]"/>
  </connection>
  <connection id="22" xr16:uid="{91961D4D-6EE1-CC43-9026-ABFF6C2CBC60}" keepAlive="1" name="Query - Pillar3_quarterly (3)" description="Connection to the 'Pillar3_quarterly (3)' query in the workbook." type="5" refreshedVersion="8" background="1" saveData="1">
    <dbPr connection="Provider=Microsoft.Mashup.OleDb.1;Data Source=$Workbook$;Location=&quot;Pillar3_quarterly (3)&quot;;Extended Properties=&quot;&quot;" command="SELECT * FROM [Pillar3_quarterly (3)]"/>
  </connection>
  <connection id="23" xr16:uid="{77855345-C12E-1643-B9E4-8E51EEE98FCC}" keepAlive="1" name="Query - Pillar3_std_lv2" description="Connection to the 'Pillar3_std_lv2' query in the workbook." type="5" refreshedVersion="8" background="1" saveData="1">
    <dbPr connection="Provider=Microsoft.Mashup.OleDb.1;Data Source=$Workbook$;Location=Pillar3_std_lv2;Extended Properties=&quot;&quot;" command="SELECT * FROM [Pillar3_std_lv2]"/>
  </connection>
  <connection id="24" xr16:uid="{964C9A63-018F-4647-8E50-82419ACC1610}" keepAlive="1" name="Query - Quarter" description="Connection to the 'Quarter' query in the workbook." type="5" refreshedVersion="8" background="1" saveData="1">
    <dbPr connection="Provider=Microsoft.Mashup.OleDb.1;Data Source=$Workbook$;Location=Quarter;Extended Properties=&quot;&quot;" command="SELECT * FROM [Quarter]"/>
  </connection>
  <connection id="25" xr16:uid="{482C2B64-C279-404B-8E30-C3CDD53EC1C6}" keepAlive="1" name="Query - Quartly GRDP" description="Connection to the 'Quartly GRDP' query in the workbook." type="5" refreshedVersion="8" background="1" saveData="1">
    <dbPr connection="Provider=Microsoft.Mashup.OleDb.1;Data Source=$Workbook$;Location=&quot;Quartly GRDP&quot;;Extended Properties=&quot;&quot;" command="SELECT * FROM [Quartly GRDP]"/>
  </connection>
  <connection id="26" xr16:uid="{3ED1DB4C-898F-494E-93DE-AAE90AD94542}" keepAlive="1" name="Query - Reaction mechanism" description="Connection to the 'Reaction mechanism' query in the workbook." type="5" refreshedVersion="8" background="1" saveData="1">
    <dbPr connection="Provider=Microsoft.Mashup.OleDb.1;Data Source=$Workbook$;Location=&quot;Reaction mechanism&quot;;Extended Properties=&quot;&quot;" command="SELECT * FROM [Reaction mechanism]"/>
  </connection>
  <connection id="27" xr16:uid="{0ABEBE17-E76E-D24C-BF7E-A8FB83534900}" keepAlive="1" name="Query - Shock event mapping" description="Connection to the 'Shock event mapping' query in the workbook." type="5" refreshedVersion="8" background="1" saveData="1">
    <dbPr connection="Provider=Microsoft.Mashup.OleDb.1;Data Source=$Workbook$;Location=&quot;Shock event mapping&quot;;Extended Properties=&quot;&quot;" command="SELECT * FROM [Shock event mapping]"/>
  </connection>
  <connection id="28" xr16:uid="{70A2D3BB-BB81-A341-932E-7A0E9E23AE0B}" keepAlive="1" name="Query - weather_summary" description="Connection to the 'weather_summary' query in the workbook." type="5" refreshedVersion="8" background="1" saveData="1">
    <dbPr connection="Provider=Microsoft.Mashup.OleDb.1;Data Source=$Workbook$;Location=weather_summary;Extended Properties=&quot;&quot;" command="SELECT * FROM [weather_summary]"/>
  </connection>
  <connection id="29" xr16:uid="{034B6F27-A493-C24D-934C-0EE38A4B5F08}" keepAlive="1" name="Query - weather2000_2025_final" description="Connection to the 'weather2000_2025_final' query in the workbook." type="5" refreshedVersion="8" background="1" saveData="1">
    <dbPr connection="Provider=Microsoft.Mashup.OleDb.1;Data Source=$Workbook$;Location=weather2000_2025_final;Extended Properties=&quot;&quot;" command="SELECT * FROM [weather2000_2025_final]"/>
  </connection>
  <connection id="30" xr16:uid="{A8002819-FCF2-5447-A5C7-B521D1C79B0C}" keepAlive="1" name="Query - weather2000-2025_final" description="Connection to the 'weather2000-2025_final' query in the workbook." type="5" refreshedVersion="8" background="1" saveData="1">
    <dbPr connection="Provider=Microsoft.Mashup.OleDb.1;Data Source=$Workbook$;Location=weather2000-2025_final;Extended Properties=&quot;&quot;" command="SELECT * FROM [weather2000-2025_final]"/>
  </connection>
</connections>
</file>

<file path=xl/sharedStrings.xml><?xml version="1.0" encoding="utf-8"?>
<sst xmlns="http://schemas.openxmlformats.org/spreadsheetml/2006/main" count="594" uniqueCount="148">
  <si>
    <t>Year</t>
  </si>
  <si>
    <t>Quarter</t>
  </si>
  <si>
    <t>% semi-permanent housing and below</t>
  </si>
  <si>
    <t>% of Agriculture land</t>
  </si>
  <si>
    <t xml:space="preserve">Literacy rate of population aged 15+ </t>
  </si>
  <si>
    <t>Rate of trained labor (%)</t>
  </si>
  <si>
    <t>Social insurance coverage rate (%)</t>
  </si>
  <si>
    <t>Health insurance coverage rate (%)</t>
  </si>
  <si>
    <t>Expenditure on human health, population and family planning / GRDP (%)</t>
  </si>
  <si>
    <t>HHI for Employed population by economic sector</t>
  </si>
  <si>
    <t>Paddy production (1000 tons)</t>
  </si>
  <si>
    <t>Fishery production (tons)</t>
  </si>
  <si>
    <t>Number of cows (1000)</t>
  </si>
  <si>
    <t>Number of pigs (1000)</t>
  </si>
  <si>
    <t>Number of poultry (1000)</t>
  </si>
  <si>
    <t>% of expenditure on non-staple food groups.</t>
  </si>
  <si>
    <t>Total markets/supermarkets</t>
  </si>
  <si>
    <t>PCI</t>
  </si>
  <si>
    <t>Number of policies on Food</t>
  </si>
  <si>
    <t>Rice self-sufficiency rate</t>
  </si>
  <si>
    <t>Meat self-sufficiency rate</t>
  </si>
  <si>
    <t>Fish self-sufficiency rate</t>
  </si>
  <si>
    <t>Rice import rate</t>
  </si>
  <si>
    <t>Meat import rate</t>
  </si>
  <si>
    <t>Fish import rate</t>
  </si>
  <si>
    <t>Rice HHI for import partners</t>
  </si>
  <si>
    <t>Meat HHI for import partners</t>
  </si>
  <si>
    <t>Fish HHI for import partners</t>
  </si>
  <si>
    <t>Post-harvest lost rate</t>
  </si>
  <si>
    <t>Month</t>
  </si>
  <si>
    <t>Event</t>
  </si>
  <si>
    <t>Shocks</t>
  </si>
  <si>
    <t>Impact to HN FS</t>
  </si>
  <si>
    <t>Threshold</t>
  </si>
  <si>
    <t>Amended Constitution 118/2014 on rearranging and innovating agro-forestry companies.</t>
  </si>
  <si>
    <t>Political/Policy</t>
  </si>
  <si>
    <t>Agricultural restructuring affected the supply chains of agricultural products for Hanoi</t>
  </si>
  <si>
    <t>Floods in the North due to prolonged rain.</t>
  </si>
  <si>
    <t>Environmental/Biological</t>
  </si>
  <si>
    <t>Flooded fields, reduced yields of rice and vegetables; disrupted urban food transportation</t>
  </si>
  <si>
    <t>Supermarkets in Hanoi sell vegetables with no origin documentation, causing consumer reaction.</t>
  </si>
  <si>
    <t>Increased food safety concerns, reduced consumption at traditional markets and supermarkets; led to stronger food safety control</t>
  </si>
  <si>
    <t>Beginning of El Niño drought.</t>
  </si>
  <si>
    <t>Began to impact food supply from main production areas</t>
  </si>
  <si>
    <t>El Niño drought peaks.</t>
  </si>
  <si>
    <t>Loss of 1.2 million tons of rice nationwide; rice exports decreased by 4.45%, severely affecting food supply to Hanoi</t>
  </si>
  <si>
    <t>Severe drought in 2016 in the Mekong River Delta.</t>
  </si>
  <si>
    <t>Reduced rice yield – threatening rice supply, raising prices in Hanoi; downstream farmers heavily affected</t>
  </si>
  <si>
    <t>Drought, high temperatures in suburban vegetable growing areas.</t>
  </si>
  <si>
    <t>Water shortage for irrigation, reduced vegetable yields, rising vegetable prices; affected daily meals of Hanoi residents</t>
  </si>
  <si>
    <t>CPTPP comes into effect.</t>
  </si>
  <si>
    <t>Changes in agricultural import-export structures affected the price and quality of food in Hanoi</t>
  </si>
  <si>
    <t>Fluctuation in global fuel prices &amp; transportation costs.</t>
  </si>
  <si>
    <t>Economic</t>
  </si>
  <si>
    <t>Transportation costs surged → food prices increased, disrupted the supply chain from Mekong Delta to Hanoi</t>
  </si>
  <si>
    <t>Outbreak of African Swine Fever (ASF) in Long Bien, spreading throughout Hanoi.</t>
  </si>
  <si>
    <t>Approximately 495,000 pigs culled (26.5% of total herd), ~35% of pig farming households affected → pork shortages, prices surged, pork supply chain disrupted</t>
  </si>
  <si>
    <t>Typhoon Wipha (No. 3).</t>
  </si>
  <si>
    <t>Heavy rain and flooding in Hanoi affected traditional markets and food transportation</t>
  </si>
  <si>
    <t>COVID-19 and social distancing affect trade, markets &amp; media.</t>
  </si>
  <si>
    <t>Distribution of vegetables and food disrupted; increased pressure on logistics and retail systems</t>
  </si>
  <si>
    <t>EVFTA agreement comes into effect.</t>
  </si>
  <si>
    <t>Vietnam opened EU market access for agricultural products, boosting exports, which affected domestic food prices</t>
  </si>
  <si>
    <t>Tropical Storm Linfa/Goni</t>
  </si>
  <si>
    <t>primarily affected the Central region, it still disrupted the supply chains of vegetables and fish - especially when Hanoi shifted from fast to slower domestic sources; this could lead to short-term shortages and price increases.</t>
  </si>
  <si>
    <t>Suez Canal obstruction (Ever Given).</t>
  </si>
  <si>
    <t>Global logistics disruptions delayed food imports, increasing shipping costs</t>
  </si>
  <si>
    <t>High inflation, rising input prices (fertilizer, labor).</t>
  </si>
  <si>
    <t>Agricultural product prices rose, farming costs increased, affecting retail prices</t>
  </si>
  <si>
    <t>COVID-19</t>
  </si>
  <si>
    <t>Inflation remained low due to economic support, but food supply chains were still disrupted</t>
  </si>
  <si>
    <t>Russia-Ukraine War: disruption of agricultural and energy supply chains.</t>
  </si>
  <si>
    <t>Fertilizer prices increased by ~60–80%, animal feed + wheat + corn prices rose by 10–20%, pushing up production and farming costs in Hanoi</t>
  </si>
  <si>
    <t>Change in food safety policy, increased post-auditing control.</t>
  </si>
  <si>
    <t>Small-scale farmers and processors faced compliance pressure; rising costs; many local products struggled to access formal markets</t>
  </si>
  <si>
    <t>Record drought in 2024 in Mekong River Delta - causing water scarcity.</t>
  </si>
  <si>
    <t>Decline in supply of rice, vegetables, and fish; raw material prices surged, affecting local markets and school canteens in Hanoi</t>
  </si>
  <si>
    <t>Super Typhoon Yagi (No. 3) makes landfall in the North, causing flooding in Hanoi.</t>
  </si>
  <si>
    <t>18,000 households flooded; 84,000 hectares of crops and 1,000 hectares of aquaculture damaged; hundreds of thousands of poultry and pigs died → food shortage, rising meat and vegetable prices</t>
  </si>
  <si>
    <t>Meat production</t>
  </si>
  <si>
    <t>Rice production (tons)</t>
  </si>
  <si>
    <t>Fishery living w</t>
  </si>
  <si>
    <t>Food CPI Quarter YoY</t>
  </si>
  <si>
    <t>Diesel price Quarter YoY</t>
  </si>
  <si>
    <t>GRDP growth Quarter YoY</t>
  </si>
  <si>
    <t>number_of_extreme_days</t>
  </si>
  <si>
    <t>total_abnormal_events</t>
  </si>
  <si>
    <t>total_storm_events</t>
  </si>
  <si>
    <t>GRDP per capital growth YoY</t>
  </si>
  <si>
    <t>Poverty rate YoY</t>
  </si>
  <si>
    <t>Income per capital YoY</t>
  </si>
  <si>
    <t>RESILIENCE</t>
  </si>
  <si>
    <t>more</t>
  </si>
  <si>
    <t>less</t>
  </si>
  <si>
    <t>103  = 1</t>
  </si>
  <si>
    <t>Shocks 2</t>
  </si>
  <si>
    <t>Threshold2</t>
  </si>
  <si>
    <t>A1. Financial</t>
  </si>
  <si>
    <t>A2. Physical</t>
  </si>
  <si>
    <t>A3. Human</t>
  </si>
  <si>
    <t>A4. Social</t>
  </si>
  <si>
    <t>A1. Local production output</t>
  </si>
  <si>
    <t xml:space="preserve">A2. Food self-sufficiency rate </t>
  </si>
  <si>
    <t>A. SUPPLY &amp; DIVERSIFICATION</t>
  </si>
  <si>
    <t>A3. Dietary diversity score</t>
  </si>
  <si>
    <t>B. SUPPLY CHAIN</t>
  </si>
  <si>
    <t>C. TRADE &amp; MARKET DEPENDENCY</t>
  </si>
  <si>
    <t xml:space="preserve">C1.Import dependency ratio </t>
  </si>
  <si>
    <t>C2.Supplier concentration level</t>
  </si>
  <si>
    <t>A. ASSET</t>
  </si>
  <si>
    <t>B. ADAPTIVE CAPACITY</t>
  </si>
  <si>
    <t>B. BIOPHYSICAL &amp; CLIMATE</t>
  </si>
  <si>
    <t>A. ECONOMIC</t>
  </si>
  <si>
    <t>Q1</t>
  </si>
  <si>
    <t>Q4</t>
  </si>
  <si>
    <t>Q3</t>
  </si>
  <si>
    <t>Q2</t>
  </si>
  <si>
    <t>o0</t>
  </si>
  <si>
    <t>Base</t>
  </si>
  <si>
    <t>Threshold3</t>
  </si>
  <si>
    <t>Threshold25</t>
  </si>
  <si>
    <t>Pillar 1: Resilience Capacities</t>
  </si>
  <si>
    <t>Pillar 2: System Structure &amp; Connectivity</t>
  </si>
  <si>
    <t>Pillar 3: Exposure to Shocks &amp; Stressors</t>
  </si>
  <si>
    <t>Social security rate (%)</t>
  </si>
  <si>
    <t>Resilience Index</t>
  </si>
  <si>
    <t>Pillar2</t>
  </si>
  <si>
    <t>TIME</t>
  </si>
  <si>
    <t>Residual</t>
  </si>
  <si>
    <t>CRI SOS</t>
  </si>
  <si>
    <t>Pillar1 Index</t>
  </si>
  <si>
    <t>Pillar2 SOS</t>
  </si>
  <si>
    <t>P+A2 SOS</t>
  </si>
  <si>
    <t>SOS L1</t>
  </si>
  <si>
    <t>SOS L2</t>
  </si>
  <si>
    <t>Pillar1 SOS</t>
  </si>
  <si>
    <t>SOS T1</t>
  </si>
  <si>
    <t>SOS T2</t>
  </si>
  <si>
    <t>TIME2</t>
  </si>
  <si>
    <t>Pillar1 SOS2</t>
  </si>
  <si>
    <t>SOS T1_2</t>
  </si>
  <si>
    <t>SOS T2_2</t>
  </si>
  <si>
    <t>Residuals2</t>
  </si>
  <si>
    <t>Pillar2 SOS2</t>
  </si>
  <si>
    <t>Pillar 3</t>
  </si>
  <si>
    <t>Pillar3 Trendline</t>
  </si>
  <si>
    <t>total_abnormal_rainfall_events</t>
  </si>
  <si>
    <t>number_of_extreme_hot_days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</si>
</sst>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  <font>
      <b/>
      <sz val="12"/>
      <color theme="0"/>
      <name val="Aptos Narrow"/>
      <family val="2"/>
      <scheme val="minor"/>
    </font>
    <font>
      <sz val="10"/>
      <name val="Arial"/>
      <family val="2"/>
    </font>
    <font>
      <sz val="12"/>
      <color theme="1"/>
      <name val="Aptos"/>
    </font>
    <font>
      <sz val="12"/>
      <name val="Apto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8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164" fontId="0" fillId="3" borderId="2" xfId="0" applyNumberFormat="1" applyFill="1" applyBorder="1"/>
    <xf numFmtId="0" fontId="0" fillId="0" borderId="0" xfId="0" applyAlignment="1">
      <alignment wrapText="1"/>
    </xf>
    <xf numFmtId="2" fontId="4" fillId="0" borderId="0" xfId="0" applyNumberFormat="1" applyFont="1" applyAlignment="1">
      <alignment wrapText="1"/>
    </xf>
    <xf numFmtId="2" fontId="5" fillId="0" borderId="0" xfId="1" applyNumberFormat="1" applyFont="1" applyAlignment="1">
      <alignment horizontal="right" wrapText="1" indent="1"/>
    </xf>
    <xf numFmtId="2" fontId="5" fillId="0" borderId="0" xfId="2" applyNumberFormat="1" applyFont="1" applyAlignment="1">
      <alignment horizontal="right" indent="1"/>
    </xf>
    <xf numFmtId="166" fontId="5" fillId="0" borderId="0" xfId="1" applyNumberFormat="1" applyFont="1" applyAlignment="1">
      <alignment horizontal="right" wrapText="1" indent="1"/>
    </xf>
    <xf numFmtId="166" fontId="5" fillId="0" borderId="0" xfId="2" applyNumberFormat="1" applyFont="1" applyAlignment="1">
      <alignment horizontal="right" indent="1"/>
    </xf>
    <xf numFmtId="166" fontId="4" fillId="0" borderId="0" xfId="0" applyNumberFormat="1" applyFont="1" applyAlignment="1">
      <alignment wrapText="1"/>
    </xf>
    <xf numFmtId="2" fontId="0" fillId="3" borderId="2" xfId="0" applyNumberFormat="1" applyFill="1" applyBorder="1"/>
    <xf numFmtId="9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164" fontId="0" fillId="3" borderId="4" xfId="0" applyNumberFormat="1" applyFill="1" applyBorder="1"/>
    <xf numFmtId="0" fontId="0" fillId="0" borderId="4" xfId="0" applyBorder="1"/>
    <xf numFmtId="164" fontId="0" fillId="0" borderId="4" xfId="0" applyNumberFormat="1" applyBorder="1"/>
    <xf numFmtId="0" fontId="2" fillId="2" borderId="0" xfId="0" applyFont="1" applyFill="1"/>
    <xf numFmtId="164" fontId="0" fillId="3" borderId="0" xfId="0" applyNumberFormat="1" applyFill="1"/>
  </cellXfs>
  <cellStyles count="3">
    <cellStyle name="Normal" xfId="0" builtinId="0"/>
    <cellStyle name="Normal - Style1_01 Don vi HC 3" xfId="1" xr:uid="{1096255C-0436-004E-A995-DAD833F73F86}"/>
    <cellStyle name="Normal_Mucsong 20 nam-Hung 3" xfId="2" xr:uid="{905C71D1-5C89-5347-BD10-5FAFA0585843}"/>
  </cellStyles>
  <dxfs count="1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  <dxf>
      <numFmt numFmtId="164" formatCode="0.0000"/>
    </dxf>
    <dxf>
      <numFmt numFmtId="2" formatCode="0.0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00"/>
    </dxf>
    <dxf>
      <numFmt numFmtId="165" formatCode="0.0"/>
    </dxf>
    <dxf>
      <numFmt numFmtId="165" formatCode="0.0"/>
    </dxf>
    <dxf>
      <numFmt numFmtId="164" formatCode="0.0000"/>
    </dxf>
    <dxf>
      <numFmt numFmtId="164" formatCode="0.000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166" formatCode="0.000"/>
    </dxf>
    <dxf>
      <numFmt numFmtId="166" formatCode="0.0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6" formatCode="0.000"/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165" formatCode="0.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</dxf>
    <dxf>
      <numFmt numFmtId="1" formatCode="0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  <dxf>
      <numFmt numFmtId="164" formatCode="0.0000"/>
    </dxf>
    <dxf>
      <numFmt numFmtId="2" formatCode="0.00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B685EE3A-9183-BD46-B733-2C9B673636FF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Year" tableColumnId="1"/>
      <queryTableField id="2" name="Quarter" tableColumnId="2"/>
      <queryTableField id="3" name="Shocks" tableColumnId="3"/>
      <queryTableField id="4" name="Threshold" tableColumnId="4"/>
      <queryTableField id="5" dataBound="0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7" xr16:uid="{9E8F4EA7-926E-BA45-BED1-5CAAAB491E5F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Quarter" tableColumnId="2"/>
      <queryTableField id="3" name="Month" tableColumnId="3"/>
      <queryTableField id="4" name="Event" tableColumnId="4"/>
      <queryTableField id="5" name="Shocks" tableColumnId="5"/>
      <queryTableField id="6" name="Impact to HN FS" tableColumnId="6"/>
      <queryTableField id="7" name="Threshol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2D1D367F-5650-A847-9D04-275088D4BF2F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Quarter" tableColumnId="2"/>
      <queryTableField id="3" name="Food CPI Quarter YoY" tableColumnId="3"/>
      <queryTableField id="4" name="Diesel price Quarter YoY" tableColumnId="4"/>
      <queryTableField id="5" name="GRDP growth Quarter YoY" tableColumnId="5"/>
      <queryTableField id="6" name="number_of_extreme_days" tableColumnId="6"/>
      <queryTableField id="7" name="total_abnormal_events" tableColumnId="7"/>
      <queryTableField id="8" name="total_storm_event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6" xr16:uid="{736039FD-E975-5A41-9ACB-AC953F2B7DE5}" autoFormatId="16" applyNumberFormats="0" applyBorderFormats="0" applyFontFormats="0" applyPatternFormats="0" applyAlignmentFormats="0" applyWidthHeightFormats="0">
  <queryTableRefresh nextId="25">
    <queryTableFields count="24">
      <queryTableField id="1" name="Year" tableColumnId="1"/>
      <queryTableField id="2" name="Quarter" tableColumnId="2"/>
      <queryTableField id="3" name="Paddy production (1000 tons)" tableColumnId="3"/>
      <queryTableField id="23" dataBound="0" tableColumnId="23"/>
      <queryTableField id="4" name="Fishery production (tons)" tableColumnId="4"/>
      <queryTableField id="24" dataBound="0" tableColumnId="24"/>
      <queryTableField id="5" name="Number of cows (1000)" tableColumnId="5"/>
      <queryTableField id="6" name="Number of pigs (1000)" tableColumnId="6"/>
      <queryTableField id="7" name="Number of poultry (1000)" tableColumnId="7"/>
      <queryTableField id="22" dataBound="0" tableColumnId="22"/>
      <queryTableField id="8" name="% of expenditure on non-staple food groups." tableColumnId="8"/>
      <queryTableField id="9" name="Total markets/supermarkets" tableColumnId="9"/>
      <queryTableField id="10" name="PCI" tableColumnId="10"/>
      <queryTableField id="11" name="Number of policies on Food" tableColumnId="11"/>
      <queryTableField id="12" name="Rice self-sufficiency rate" tableColumnId="12"/>
      <queryTableField id="13" name="Meat self-sufficiency rate" tableColumnId="13"/>
      <queryTableField id="14" name="Fish self-sufficiency rate" tableColumnId="14"/>
      <queryTableField id="15" name="Rice import rate" tableColumnId="15"/>
      <queryTableField id="16" name="Meat import rate" tableColumnId="16"/>
      <queryTableField id="17" name="Fish import rate" tableColumnId="17"/>
      <queryTableField id="18" name="Rice HHI for import partners" tableColumnId="18"/>
      <queryTableField id="19" name="Meat HHI for import partners" tableColumnId="19"/>
      <queryTableField id="20" name="Fish HHI for import partners" tableColumnId="20"/>
      <queryTableField id="21" name="Post-harvest lost rate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7ACEDE85-CFEA-5047-9732-B76D1A44C97A}" autoFormatId="16" applyNumberFormats="0" applyBorderFormats="0" applyFontFormats="0" applyPatternFormats="0" applyAlignmentFormats="0" applyWidthHeightFormats="0">
  <queryTableRefresh nextId="20">
    <queryTableFields count="13">
      <queryTableField id="1" name="Year" tableColumnId="1"/>
      <queryTableField id="2" name="Quarter" tableColumnId="2"/>
      <queryTableField id="15" dataBound="0" tableColumnId="15"/>
      <queryTableField id="17" dataBound="0" tableColumnId="17"/>
      <queryTableField id="16" dataBound="0" tableColumnId="16"/>
      <queryTableField id="6" name="% semi-permanent housing and below" tableColumnId="6"/>
      <queryTableField id="8" name="% of Agriculture land" tableColumnId="8"/>
      <queryTableField id="9" name="Literacy rate of population aged 15+ " tableColumnId="9"/>
      <queryTableField id="10" name="Rate of trained labor (%)" tableColumnId="10"/>
      <queryTableField id="11" name="Social insurance coverage rate (%)" tableColumnId="11"/>
      <queryTableField id="12" name="Health insurance coverage rate (%)" tableColumnId="12"/>
      <queryTableField id="13" name="Expenditure on human health, population and family planning / GRDP (%)" tableColumnId="13"/>
      <queryTableField id="14" name="HHI for Employed population by economic sector" tableColumnId="14"/>
    </queryTableFields>
    <queryTableDeletedFields count="4">
      <deletedField name="Poverty rate"/>
      <deletedField name="GRDP per capital (mil dongs)"/>
      <deletedField name="Income per capital (1000 dongs)"/>
      <deletedField name="Road length (km)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" xr16:uid="{7B3573D6-D6CE-4843-8792-76564F7D0A27}" autoFormatId="16" applyNumberFormats="0" applyBorderFormats="0" applyFontFormats="0" applyPatternFormats="0" applyAlignmentFormats="0" applyWidthHeightFormats="0">
  <queryTableRefresh nextId="40" unboundColumnsRight="10">
    <queryTableFields count="12">
      <queryTableField id="1" name="Year" tableColumnId="1"/>
      <queryTableField id="2" name="Quarter" tableColumnId="2"/>
      <queryTableField id="26" dataBound="0" tableColumnId="26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31" dataBound="0" tableColumnId="31"/>
      <queryTableField id="30" dataBound="0" tableColumnId="30"/>
      <queryTableField id="32" dataBound="0" tableColumnId="33"/>
      <queryTableField id="34" dataBound="0" tableColumnId="35"/>
      <queryTableField id="39" dataBound="0" tableColumnId="40"/>
    </queryTableFields>
    <queryTableDeletedFields count="16">
      <deletedField name="Shocks"/>
      <deletedField name="Threshold"/>
      <deletedField name="Shocks 2"/>
      <deletedField name="Threshold2"/>
      <deletedField name="A. ASSET"/>
      <deletedField name="A1. Financial"/>
      <deletedField name="A2. Physical"/>
      <deletedField name="A3. Human"/>
      <deletedField name="A4. Social"/>
      <deletedField name="B. ADAPTIVE CAPACITY"/>
      <deletedField name="A. SUPPLY &amp; DIVERSIFICATION"/>
      <deletedField name="B. SUPPLY CHAIN"/>
      <deletedField name="C. TRADE &amp; MARKET DEPENDENCY"/>
      <deletedField name="D. GOVERNANCE"/>
      <deletedField name="A. ECONOMIC"/>
      <deletedField name="B. BIOPHYSICAL &amp; CLIMATE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4" xr16:uid="{782B0956-BA34-364F-BE72-FD399B759B20}" autoFormatId="16" applyNumberFormats="0" applyBorderFormats="0" applyFontFormats="0" applyPatternFormats="0" applyAlignmentFormats="0" applyWidthHeightFormats="0">
  <queryTableRefresh nextId="41" unboundColumnsRight="15">
    <queryTableFields count="17">
      <queryTableField id="1" name="Year" tableColumnId="1"/>
      <queryTableField id="2" name="Quarter" tableColumnId="2"/>
      <queryTableField id="26" dataBound="0" tableColumnId="26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31" dataBound="0" tableColumnId="31"/>
      <queryTableField id="30" dataBound="0" tableColumnId="30"/>
      <queryTableField id="32" dataBound="0" tableColumnId="33"/>
      <queryTableField id="34" dataBound="0" tableColumnId="35"/>
      <queryTableField id="40" dataBound="0" tableColumnId="41"/>
      <queryTableField id="35" dataBound="0" tableColumnId="36"/>
      <queryTableField id="36" dataBound="0" tableColumnId="37"/>
      <queryTableField id="37" dataBound="0" tableColumnId="38"/>
      <queryTableField id="38" dataBound="0" tableColumnId="39"/>
      <queryTableField id="39" dataBound="0" tableColumnId="40"/>
    </queryTableFields>
    <queryTableDeletedFields count="16">
      <deletedField name="Shocks"/>
      <deletedField name="Threshold"/>
      <deletedField name="Shocks 2"/>
      <deletedField name="Threshold2"/>
      <deletedField name="A. ASSET"/>
      <deletedField name="A1. Financial"/>
      <deletedField name="A2. Physical"/>
      <deletedField name="A3. Human"/>
      <deletedField name="A4. Social"/>
      <deletedField name="B. ADAPTIVE CAPACITY"/>
      <deletedField name="A. SUPPLY &amp; DIVERSIFICATION"/>
      <deletedField name="B. SUPPLY CHAIN"/>
      <deletedField name="C. TRADE &amp; MARKET DEPENDENCY"/>
      <deletedField name="D. GOVERNANCE"/>
      <deletedField name="A. ECONOMIC"/>
      <deletedField name="B. BIOPHYSICAL &amp; CLIMATE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5" xr16:uid="{5E7E09CC-0708-EC46-924D-D9E49C912E2B}" autoFormatId="16" applyNumberFormats="0" applyBorderFormats="0" applyFontFormats="0" applyPatternFormats="0" applyAlignmentFormats="0" applyWidthHeightFormats="0">
  <queryTableRefresh nextId="36" unboundColumnsRight="10">
    <queryTableFields count="12">
      <queryTableField id="1" name="Year" tableColumnId="1"/>
      <queryTableField id="2" name="Quarter" tableColumnId="2"/>
      <queryTableField id="26" dataBound="0" tableColumnId="26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31" dataBound="0" tableColumnId="31"/>
      <queryTableField id="30" dataBound="0" tableColumnId="30"/>
      <queryTableField id="32" dataBound="0" tableColumnId="33"/>
      <queryTableField id="34" dataBound="0" tableColumnId="35"/>
      <queryTableField id="35" dataBound="0" tableColumnId="36"/>
    </queryTableFields>
    <queryTableDeletedFields count="16">
      <deletedField name="Shocks"/>
      <deletedField name="Threshold"/>
      <deletedField name="Shocks 2"/>
      <deletedField name="Threshold2"/>
      <deletedField name="A. ASSET"/>
      <deletedField name="A1. Financial"/>
      <deletedField name="A2. Physical"/>
      <deletedField name="A3. Human"/>
      <deletedField name="A4. Social"/>
      <deletedField name="B. ADAPTIVE CAPACITY"/>
      <deletedField name="A. SUPPLY &amp; DIVERSIFICATION"/>
      <deletedField name="B. SUPPLY CHAIN"/>
      <deletedField name="C. TRADE &amp; MARKET DEPENDENCY"/>
      <deletedField name="D. GOVERNANCE"/>
      <deletedField name="A. ECONOMIC"/>
      <deletedField name="B. BIOPHYSICAL &amp; CLIMATE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" xr16:uid="{F8836121-A47B-134B-983D-CFD080BD238F}" autoFormatId="16" applyNumberFormats="0" applyBorderFormats="0" applyFontFormats="0" applyPatternFormats="0" applyAlignmentFormats="0" applyWidthHeightFormats="0">
  <queryTableRefresh nextId="27" unboundColumnsRight="8">
    <queryTableFields count="10">
      <queryTableField id="1" name="Year" tableColumnId="1"/>
      <queryTableField id="2" name="Quarter" tableColumnId="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  <queryTableDeletedFields count="16">
      <deletedField name="Shocks"/>
      <deletedField name="Threshold"/>
      <deletedField name="Shocks 2"/>
      <deletedField name="Threshold2"/>
      <deletedField name="A. ASSET"/>
      <deletedField name="A1. Financial"/>
      <deletedField name="A2. Physical"/>
      <deletedField name="A3. Human"/>
      <deletedField name="A4. Social"/>
      <deletedField name="B. ADAPTIVE CAPACITY"/>
      <deletedField name="A. SUPPLY &amp; DIVERSIFICATION"/>
      <deletedField name="B. SUPPLY CHAIN"/>
      <deletedField name="C. TRADE &amp; MARKET DEPENDENCY"/>
      <deletedField name="D. GOVERNANCE"/>
      <deletedField name="A. ECONOMIC"/>
      <deletedField name="B. BIOPHYSICAL &amp; CLIMATE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4" xr16:uid="{03411B13-74CC-BF45-85AD-03229D98E390}" autoFormatId="16" applyNumberFormats="0" applyBorderFormats="0" applyFontFormats="0" applyPatternFormats="0" applyAlignmentFormats="0" applyWidthHeightFormats="0">
  <queryTableRefresh nextId="40" unboundColumnsRight="4">
    <queryTableFields count="12">
      <queryTableField id="1" name="Year" tableColumnId="1"/>
      <queryTableField id="2" name="Quarter" tableColumnId="2"/>
      <queryTableField id="39" dataBound="0" tableColumnId="39"/>
      <queryTableField id="36" dataBound="0" tableColumnId="36"/>
      <queryTableField id="37" dataBound="0" tableColumnId="37"/>
      <queryTableField id="38" dataBound="0" tableColumnId="38"/>
      <queryTableField id="13" name="Expenditure on human health, population and family planning / GRDP (%)" tableColumnId="13"/>
      <queryTableField id="14" name="HHI for Employed population by economic sector" tableColumnId="14"/>
      <queryTableField id="32" dataBound="0" tableColumnId="32"/>
      <queryTableField id="33" dataBound="0" tableColumnId="33"/>
      <queryTableField id="34" dataBound="0" tableColumnId="34"/>
      <queryTableField id="35" dataBound="0" tableColumnId="35"/>
    </queryTableFields>
    <queryTableDeletedFields count="10">
      <deletedField name="Poverty rate"/>
      <deletedField name="GRDP per capital (mil dongs)"/>
      <deletedField name="Income per capital (1000 dongs)"/>
      <deletedField name="Road length (km)"/>
      <deletedField name="% semi-permanent housing and below"/>
      <deletedField name="% of Agriculture land"/>
      <deletedField name="Literacy rate of population aged 15+ "/>
      <deletedField name="Rate of trained labor (%)"/>
      <deletedField name="Social insurance coverage rate (%)"/>
      <deletedField name="Health insurance coverage rate (%)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8" xr16:uid="{C29BAC4E-C274-EE44-A8C3-8656F7DB1617}" autoFormatId="16" applyNumberFormats="0" applyBorderFormats="0" applyFontFormats="0" applyPatternFormats="0" applyAlignmentFormats="0" applyWidthHeightFormats="0">
  <queryTableRefresh nextId="42" unboundColumnsRight="7">
    <queryTableFields count="14">
      <queryTableField id="1" name="Year" tableColumnId="1"/>
      <queryTableField id="2" name="Quarter" tableColumnId="2"/>
      <queryTableField id="35" dataBound="0" tableColumnId="28"/>
      <queryTableField id="30" dataBound="0" tableColumnId="11"/>
      <queryTableField id="34" dataBound="0" tableColumnId="27"/>
      <queryTableField id="8" name="% of expenditure on non-staple food groups." tableColumnId="8"/>
      <queryTableField id="9" name="Total markets/supermarkets" tableColumnId="9"/>
      <queryTableField id="36" dataBound="0" tableColumnId="29"/>
      <queryTableField id="37" dataBound="0" tableColumnId="31"/>
      <queryTableField id="38" dataBound="0" tableColumnId="32"/>
      <queryTableField id="26" dataBound="0" tableColumnId="4"/>
      <queryTableField id="27" dataBound="0" tableColumnId="5"/>
      <queryTableField id="28" dataBound="0" tableColumnId="6"/>
      <queryTableField id="29" dataBound="0" tableColumnId="7"/>
    </queryTableFields>
    <queryTableDeletedFields count="17">
      <deletedField name="Paddy production (1000 tons)"/>
      <deletedField name="Fishery production (tons)"/>
      <deletedField name="Number of cows (1000)"/>
      <deletedField name="Number of pigs (1000)"/>
      <deletedField name="Number of poultry (1000)"/>
      <deletedField name="Post-harvest lost rate"/>
      <deletedField name="Number of policies on Food"/>
      <deletedField name="Rice self-sufficiency rate"/>
      <deletedField name="Meat self-sufficiency rate"/>
      <deletedField name="Fish self-sufficiency rate"/>
      <deletedField name="PCI"/>
      <deletedField name="Rice import rate"/>
      <deletedField name="Meat import rate"/>
      <deletedField name="Fish import rate"/>
      <deletedField name="Rice HHI for import partners"/>
      <deletedField name="Meat HHI for import partners"/>
      <deletedField name="Fish HHI for import partners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FC8B5DAA-4038-D940-8C1F-F03B208F8603}" autoFormatId="16" applyNumberFormats="0" applyBorderFormats="0" applyFontFormats="0" applyPatternFormats="0" applyAlignmentFormats="0" applyWidthHeightFormats="0">
  <queryTableRefresh nextId="15" unboundColumnsRight="6">
    <queryTableFields count="8">
      <queryTableField id="1" name="Year" tableColumnId="1"/>
      <queryTableField id="2" name="Quarter" tableColumnId="2"/>
      <queryTableField id="13" dataBound="0" tableColumnId="13"/>
      <queryTableField id="14" dataBound="0" tableColumnId="14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  <queryTableDeletedFields count="6">
      <deletedField name="Food CPI Quarter YoY"/>
      <deletedField name="Diesel price Quarter YoY"/>
      <deletedField name="GRDP growth Quarter YoY"/>
      <deletedField name="number_of_extreme_days"/>
      <deletedField name="total_abnormal_events"/>
      <deletedField name="total_storm_events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A1D90154-2309-F44B-93A0-DE8C42A15755}" autoFormatId="16" applyNumberFormats="0" applyBorderFormats="0" applyFontFormats="0" applyPatternFormats="0" applyAlignmentFormats="0" applyWidthHeightFormats="0">
  <queryTableRefresh nextId="49" unboundColumnsRight="4">
    <queryTableFields count="18">
      <queryTableField id="1" name="Year" tableColumnId="1"/>
      <queryTableField id="2" name="Quarter" tableColumnId="2"/>
      <queryTableField id="15" dataBound="0" tableColumnId="15"/>
      <queryTableField id="17" dataBound="0" tableColumnId="17"/>
      <queryTableField id="16" dataBound="0" tableColumnId="16"/>
      <queryTableField id="6" name="% semi-permanent housing and below" tableColumnId="6"/>
      <queryTableField id="8" name="% of Agriculture land" tableColumnId="8"/>
      <queryTableField id="9" name="Literacy rate of population aged 15+ " tableColumnId="9"/>
      <queryTableField id="10" name="Rate of trained labor (%)" tableColumnId="10"/>
      <queryTableField id="11" name="Social insurance coverage rate (%)" tableColumnId="11"/>
      <queryTableField id="12" name="Health insurance coverage rate (%)" tableColumnId="12"/>
      <queryTableField id="36" dataBound="0" tableColumnId="36"/>
      <queryTableField id="13" name="Expenditure on human health, population and family planning / GRDP (%)" tableColumnId="13"/>
      <queryTableField id="14" name="HHI for Employed population by economic sector" tableColumnId="14"/>
      <queryTableField id="32" dataBound="0" tableColumnId="32"/>
      <queryTableField id="33" dataBound="0" tableColumnId="33"/>
      <queryTableField id="34" dataBound="0" tableColumnId="34"/>
      <queryTableField id="35" dataBound="0" tableColumnId="35"/>
    </queryTableFields>
    <queryTableDeletedFields count="4">
      <deletedField name="Poverty rate"/>
      <deletedField name="GRDP per capital (mil dongs)"/>
      <deletedField name="Income per capital (1000 dongs)"/>
      <deletedField name="Road length (km)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7" xr16:uid="{A5DA88A3-335E-FD4A-A3E7-CAF24DC59B42}" autoFormatId="16" applyNumberFormats="0" applyBorderFormats="0" applyFontFormats="0" applyPatternFormats="0" applyAlignmentFormats="0" applyWidthHeightFormats="0">
  <queryTableRefresh nextId="45" unboundColumnsRight="4">
    <queryTableFields count="21">
      <queryTableField id="1" name="Year" tableColumnId="1"/>
      <queryTableField id="2" name="Quarter" tableColumnId="2"/>
      <queryTableField id="23" dataBound="0" tableColumnId="23"/>
      <queryTableField id="24" dataBound="0" tableColumnId="24"/>
      <queryTableField id="22" dataBound="0" tableColumnId="22"/>
      <queryTableField id="8" name="% of expenditure on non-staple food groups." tableColumnId="8"/>
      <queryTableField id="9" name="Total markets/supermarkets" tableColumnId="9"/>
      <queryTableField id="10" name="PCI" tableColumnId="10"/>
      <queryTableField id="12" name="Rice self-sufficiency rate" tableColumnId="12"/>
      <queryTableField id="13" name="Meat self-sufficiency rate" tableColumnId="13"/>
      <queryTableField id="14" name="Fish self-sufficiency rate" tableColumnId="14"/>
      <queryTableField id="15" name="Rice import rate" tableColumnId="15"/>
      <queryTableField id="16" name="Meat import rate" tableColumnId="16"/>
      <queryTableField id="17" name="Fish import rate" tableColumnId="17"/>
      <queryTableField id="18" name="Rice HHI for import partners" tableColumnId="18"/>
      <queryTableField id="19" name="Meat HHI for import partners" tableColumnId="19"/>
      <queryTableField id="20" name="Fish HHI for import partners" tableColumnId="20"/>
      <queryTableField id="26" dataBound="0" tableColumnId="4"/>
      <queryTableField id="27" dataBound="0" tableColumnId="5"/>
      <queryTableField id="28" dataBound="0" tableColumnId="6"/>
      <queryTableField id="29" dataBound="0" tableColumnId="7"/>
    </queryTableFields>
    <queryTableDeletedFields count="7">
      <deletedField name="Paddy production (1000 tons)"/>
      <deletedField name="Fishery production (tons)"/>
      <deletedField name="Number of cows (1000)"/>
      <deletedField name="Number of pigs (1000)"/>
      <deletedField name="Number of poultry (1000)"/>
      <deletedField name="Post-harvest lost rate"/>
      <deletedField name="Number of policies on Food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CEEF8AEB-8552-FD48-8EDB-603AC7ECBD75}" autoFormatId="16" applyNumberFormats="0" applyBorderFormats="0" applyFontFormats="0" applyPatternFormats="0" applyAlignmentFormats="0" applyWidthHeightFormats="0">
  <queryTableRefresh nextId="19" unboundColumnsRight="4">
    <queryTableFields count="12">
      <queryTableField id="1" name="Year" tableColumnId="1"/>
      <queryTableField id="2" name="Quarter" tableColumnId="2"/>
      <queryTableField id="3" name="Food CPI Quarter YoY" tableColumnId="3"/>
      <queryTableField id="4" name="Diesel price Quarter YoY" tableColumnId="4"/>
      <queryTableField id="5" name="GRDP growth Quarter YoY" tableColumnId="5"/>
      <queryTableField id="6" name="number_of_extreme_days" tableColumnId="6"/>
      <queryTableField id="7" name="total_abnormal_events" tableColumnId="7"/>
      <queryTableField id="8" name="total_storm_events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4" xr16:uid="{6C5F21C1-B377-404C-8320-4C52B9745F50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Quarte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853290-DFD0-D440-AD31-1D38310898D3}" name="Merge" displayName="Merge" ref="A1:F45" tableType="queryTable" totalsRowShown="0">
  <autoFilter ref="A1:F45" xr:uid="{E8853290-DFD0-D440-AD31-1D38310898D3}"/>
  <sortState xmlns:xlrd2="http://schemas.microsoft.com/office/spreadsheetml/2017/richdata2" ref="A2:F45">
    <sortCondition descending="1" ref="A1:A45"/>
  </sortState>
  <tableColumns count="6">
    <tableColumn id="1" xr3:uid="{212C4362-8296-0F43-80B8-DBC10F9796AA}" uniqueName="1" name="Year" queryTableFieldId="1"/>
    <tableColumn id="2" xr3:uid="{EFB8F1C7-5A3C-CE48-BF4D-6296DF855B49}" uniqueName="2" name="Quarter" queryTableFieldId="2"/>
    <tableColumn id="3" xr3:uid="{B278AE13-AA26-744C-8845-DE0D7006EEB1}" uniqueName="3" name="Shocks" queryTableFieldId="3" dataDxfId="140"/>
    <tableColumn id="4" xr3:uid="{AB57E3C9-C109-3749-8A63-4A9886D5D254}" uniqueName="4" name="Threshold" queryTableFieldId="4"/>
    <tableColumn id="5" xr3:uid="{A8CF941D-13DC-0346-B2F8-1C95160A6B4A}" uniqueName="5" name="Shocks 2" queryTableFieldId="5"/>
    <tableColumn id="6" xr3:uid="{75296A64-D990-8A4D-B888-87F10306FA0B}" uniqueName="6" name="Threshold2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904066-708C-1441-8948-1ECB415714F2}" name="Shock_event_mapping" displayName="Shock_event_mapping" ref="A1:G24" tableType="queryTable" totalsRowShown="0">
  <autoFilter ref="A1:G24" xr:uid="{59904066-708C-1441-8948-1ECB415714F2}"/>
  <tableColumns count="7">
    <tableColumn id="1" xr3:uid="{67B43EF8-99E4-A247-A712-11C0787D7B36}" uniqueName="1" name="Year" queryTableFieldId="1"/>
    <tableColumn id="2" xr3:uid="{765A5356-F6A9-FE44-A99B-CD1E78CFFBF7}" uniqueName="2" name="Quarter" queryTableFieldId="2"/>
    <tableColumn id="3" xr3:uid="{A2147383-547A-BA46-8FA9-F08612D74DF4}" uniqueName="3" name="Month" queryTableFieldId="3"/>
    <tableColumn id="4" xr3:uid="{3DC35CAF-A011-0F46-BD39-0228240DADC6}" uniqueName="4" name="Event" queryTableFieldId="4" dataDxfId="139"/>
    <tableColumn id="5" xr3:uid="{FB427378-1BBE-9F44-AE79-1A78FB9A52FB}" uniqueName="5" name="Shocks" queryTableFieldId="5" dataDxfId="138"/>
    <tableColumn id="6" xr3:uid="{3007E9A0-49B6-C748-A9E9-E3C1095A7BD7}" uniqueName="6" name="Impact to HN FS" queryTableFieldId="6" dataDxfId="137"/>
    <tableColumn id="7" xr3:uid="{1D437068-DE02-1A4D-9A65-2B53BFB6F539}" uniqueName="7" name="Threshol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915766-9CB2-6A41-98A0-0F99678769F8}" name="Pillar3_quarterly" displayName="Pillar3_quarterly" ref="A1:H45" tableType="queryTable" totalsRowShown="0">
  <autoFilter ref="A1:H45" xr:uid="{9A915766-9CB2-6A41-98A0-0F99678769F8}"/>
  <sortState xmlns:xlrd2="http://schemas.microsoft.com/office/spreadsheetml/2017/richdata2" ref="A2:H45">
    <sortCondition descending="1" ref="A1:A45"/>
  </sortState>
  <tableColumns count="8">
    <tableColumn id="1" xr3:uid="{24BD5C37-C362-404D-81AD-D1DD5E031076}" uniqueName="1" name="Year" queryTableFieldId="1"/>
    <tableColumn id="2" xr3:uid="{4329FA04-3A74-4341-9D4A-B03043D0FD12}" uniqueName="2" name="Quarter" queryTableFieldId="2"/>
    <tableColumn id="3" xr3:uid="{C3CB5553-C040-2246-B216-26935C1BB4FE}" uniqueName="3" name="Food CPI Quarter YoY" queryTableFieldId="3" dataDxfId="136"/>
    <tableColumn id="4" xr3:uid="{792C095A-7081-154F-B1CD-1C27CA55CFD9}" uniqueName="4" name="Diesel price Quarter YoY" queryTableFieldId="4" dataDxfId="135"/>
    <tableColumn id="5" xr3:uid="{9BBC37D1-9833-E44B-AA61-6D0A628C0403}" uniqueName="5" name="GRDP growth Quarter YoY" queryTableFieldId="5" dataDxfId="134"/>
    <tableColumn id="6" xr3:uid="{4C7A637A-1B20-B044-9F0C-D6059CDA63A3}" uniqueName="6" name="number_of_extreme_days" queryTableFieldId="6"/>
    <tableColumn id="7" xr3:uid="{333B8165-63DB-414F-8644-7CA0338E3DCE}" uniqueName="7" name="total_abnormal_events" queryTableFieldId="7"/>
    <tableColumn id="8" xr3:uid="{CD312BFB-BBB3-8141-B5EB-90A321E6F658}" uniqueName="8" name="total_storm_event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F216AF-67E2-3B4A-B196-C9C9DA41F16C}" name="Pillar2_quarterly" displayName="Pillar2_quarterly" ref="A1:X45" tableType="queryTable" totalsRowShown="0">
  <autoFilter ref="A1:X45" xr:uid="{7CF216AF-67E2-3B4A-B196-C9C9DA41F16C}"/>
  <tableColumns count="24">
    <tableColumn id="1" xr3:uid="{3AFD4217-2283-5743-A677-9EB1126E5B8E}" uniqueName="1" name="Year" queryTableFieldId="1"/>
    <tableColumn id="2" xr3:uid="{0560A7A7-DB2D-CF49-8616-8AA1AE31FF94}" uniqueName="2" name="Quarter" queryTableFieldId="2"/>
    <tableColumn id="3" xr3:uid="{AFE6F5ED-732A-0645-B7B3-A968A954B8BD}" uniqueName="3" name="Paddy production (1000 tons)" queryTableFieldId="3"/>
    <tableColumn id="23" xr3:uid="{AF079340-6700-F547-AF80-584E6199A979}" uniqueName="23" name="Rice production (tons)" queryTableFieldId="23" dataDxfId="133">
      <calculatedColumnFormula>C2*90%*65%*1000</calculatedColumnFormula>
    </tableColumn>
    <tableColumn id="4" xr3:uid="{5213A5BF-3315-6E4D-8F71-17C758554916}" uniqueName="4" name="Fishery living w" queryTableFieldId="4"/>
    <tableColumn id="24" xr3:uid="{B92173EB-932A-C84C-BBA0-90B296FC4052}" uniqueName="24" name="Fishery production (tons)" queryTableFieldId="24" dataDxfId="132">
      <calculatedColumnFormula>E2*85%*40%</calculatedColumnFormula>
    </tableColumn>
    <tableColumn id="5" xr3:uid="{E8EE7B86-8DF4-244F-AE67-F13239B098B3}" uniqueName="5" name="Number of cows (1000)" queryTableFieldId="5"/>
    <tableColumn id="6" xr3:uid="{88F83434-41EB-0546-8F55-0795B467E8D9}" uniqueName="6" name="Number of pigs (1000)" queryTableFieldId="6"/>
    <tableColumn id="7" xr3:uid="{B9A36269-9B24-6F48-B523-3EBB26B36887}" uniqueName="7" name="Number of poultry (1000)" queryTableFieldId="7"/>
    <tableColumn id="22" xr3:uid="{33B6A25C-C9AB-354E-BBC4-4C1BD8468975}" uniqueName="22" name="Meat production" queryTableFieldId="22" dataDxfId="131"/>
    <tableColumn id="8" xr3:uid="{18EB7E1C-E128-2D4D-A2C2-D1D7991ED468}" uniqueName="8" name="% of expenditure on non-staple food groups." queryTableFieldId="8" dataDxfId="130"/>
    <tableColumn id="9" xr3:uid="{03289C27-C282-4146-A90A-F48FF8C7468C}" uniqueName="9" name="Total markets/supermarkets" queryTableFieldId="9"/>
    <tableColumn id="10" xr3:uid="{E7283A00-4686-A84E-9D08-9D3F0AA0F512}" uniqueName="10" name="PCI" queryTableFieldId="10" dataDxfId="129"/>
    <tableColumn id="11" xr3:uid="{7AE89B67-DB8E-284B-B941-8EC2CFA90BA7}" uniqueName="11" name="Number of policies on Food" queryTableFieldId="11"/>
    <tableColumn id="12" xr3:uid="{D036E7B8-FDCC-E747-BFD9-F65B39309FC8}" uniqueName="12" name="Rice self-sufficiency rate" queryTableFieldId="12" dataDxfId="128"/>
    <tableColumn id="13" xr3:uid="{672AFD3F-09AA-124E-809F-64074E8E985B}" uniqueName="13" name="Meat self-sufficiency rate" queryTableFieldId="13" dataDxfId="127"/>
    <tableColumn id="14" xr3:uid="{EFEF5C7F-1527-D94B-AE5D-8639495BEC87}" uniqueName="14" name="Fish self-sufficiency rate" queryTableFieldId="14" dataDxfId="126"/>
    <tableColumn id="15" xr3:uid="{AAA0EA5D-B33D-ED4B-B69E-C4D4E0B74C31}" uniqueName="15" name="Rice import rate" queryTableFieldId="15" dataDxfId="125"/>
    <tableColumn id="16" xr3:uid="{C1263808-3694-A749-97FC-2BBD2950FDF0}" uniqueName="16" name="Meat import rate" queryTableFieldId="16" dataDxfId="124"/>
    <tableColumn id="17" xr3:uid="{3F923AE3-A586-B241-B057-DDF157ECDC6F}" uniqueName="17" name="Fish import rate" queryTableFieldId="17" dataDxfId="123"/>
    <tableColumn id="18" xr3:uid="{17D3A7BF-776B-6B4F-ABEF-2809A98B86D9}" uniqueName="18" name="Rice HHI for import partners" queryTableFieldId="18" dataDxfId="122"/>
    <tableColumn id="19" xr3:uid="{54D4F274-CC97-BF42-86AA-C55C51FCAEBF}" uniqueName="19" name="Meat HHI for import partners" queryTableFieldId="19" dataDxfId="121"/>
    <tableColumn id="20" xr3:uid="{07A7D2FF-23BC-3E4A-8223-999DE823ECA4}" uniqueName="20" name="Fish HHI for import partners" queryTableFieldId="20" dataDxfId="120"/>
    <tableColumn id="21" xr3:uid="{6E8E92AB-1915-0649-9BEB-7ABD949AC3F3}" uniqueName="21" name="Post-harvest lost rate" queryTableField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609DE0-168B-B34F-BE13-CADCE8C07EAF}" name="Pillar1_quarterly" displayName="Pillar1_quarterly" ref="A1:M45" tableType="queryTable" totalsRowShown="0">
  <autoFilter ref="A1:M45" xr:uid="{5B609DE0-168B-B34F-BE13-CADCE8C07EAF}"/>
  <tableColumns count="13">
    <tableColumn id="1" xr3:uid="{B5297875-3329-6942-BE2F-210BA309529F}" uniqueName="1" name="Year" queryTableFieldId="1"/>
    <tableColumn id="2" xr3:uid="{FC2A1124-EDB8-8241-8BD7-6585724DF935}" uniqueName="2" name="Quarter" queryTableFieldId="2"/>
    <tableColumn id="15" xr3:uid="{E9DD80DF-5328-BA45-8081-400470D8861F}" uniqueName="15" name="GRDP per capital growth YoY" queryTableFieldId="15" dataDxfId="119"/>
    <tableColumn id="17" xr3:uid="{4DFCB1E3-5AA8-984F-BA45-D72D49205923}" uniqueName="17" name="Income per capital YoY" queryTableFieldId="17" dataDxfId="118"/>
    <tableColumn id="16" xr3:uid="{A1138627-DBD6-0446-A57F-9081E9C11A96}" uniqueName="16" name="Poverty rate YoY" queryTableFieldId="16" dataDxfId="117"/>
    <tableColumn id="6" xr3:uid="{876D9DA8-FD3F-D547-94C0-944C306CFF7B}" uniqueName="6" name="% semi-permanent housing and below" queryTableFieldId="6"/>
    <tableColumn id="8" xr3:uid="{26754C7A-C4F6-2041-9C52-C16C122F387B}" uniqueName="8" name="% of Agriculture land" queryTableFieldId="8"/>
    <tableColumn id="9" xr3:uid="{03B67EA0-420E-6F40-97BC-87B101836572}" uniqueName="9" name="Literacy rate of population aged 15+ " queryTableFieldId="9"/>
    <tableColumn id="10" xr3:uid="{A7339CC9-9FF5-634E-8DE6-11640CC4CEF6}" uniqueName="10" name="Rate of trained labor (%)" queryTableFieldId="10"/>
    <tableColumn id="11" xr3:uid="{EC92807E-2C74-9B4D-90DB-67E0CF31632C}" uniqueName="11" name="Social insurance coverage rate (%)" queryTableFieldId="11"/>
    <tableColumn id="12" xr3:uid="{A818AD6D-960A-E44D-A6C2-A9A544E6E16C}" uniqueName="12" name="Health insurance coverage rate (%)" queryTableFieldId="12" dataDxfId="116"/>
    <tableColumn id="13" xr3:uid="{885B4F6B-FD03-B649-9276-C7CA63BE58B7}" uniqueName="13" name="Expenditure on human health, population and family planning / GRDP (%)" queryTableFieldId="13"/>
    <tableColumn id="14" xr3:uid="{D1F9E675-B84A-254A-B163-7CF42937930D}" uniqueName="14" name="HHI for Employed population by economic sector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886E54C-5767-4240-939D-01488B3A798F}" name="Final_std_lv325" displayName="Final_std_lv325" ref="A1:L45" tableType="queryTable" totalsRowShown="0">
  <autoFilter ref="A1:L45" xr:uid="{4886E54C-5767-4240-939D-01488B3A798F}"/>
  <sortState xmlns:xlrd2="http://schemas.microsoft.com/office/spreadsheetml/2017/richdata2" ref="A2:K45">
    <sortCondition descending="1" ref="H1:H45"/>
  </sortState>
  <tableColumns count="12">
    <tableColumn id="1" xr3:uid="{07D49938-24AD-F048-80B6-CECBF8EE2AB1}" uniqueName="1" name="P+A2 SOS" queryTableFieldId="1"/>
    <tableColumn id="2" xr3:uid="{0A1D91E4-1EBB-F848-928D-3FE90C94AA01}" uniqueName="2" name="Quarter" queryTableFieldId="2"/>
    <tableColumn id="26" xr3:uid="{F55D86D8-92E5-A646-8BEA-12F532146C95}" uniqueName="26" name="Resilience Index" queryTableFieldId="26" dataDxfId="115">
      <calculatedColumnFormula>POWER(Final_std_lv3[[#This Row],[Pillar 1: Resilience Capacities]]^10*Final_std_lv3[[#This Row],[Pillar 2: System Structure &amp; Connectivity]]^7*Final_std_lv3[[#This Row],[Pillar 3: Exposure to Shocks &amp; Stressors]]^6, 1/23)</calculatedColumnFormula>
    </tableColumn>
    <tableColumn id="19" xr3:uid="{61872619-FF4E-8844-8670-CC8D007F4A71}" uniqueName="19" name="Shocks" queryTableFieldId="19"/>
    <tableColumn id="20" xr3:uid="{1A36764E-904C-7043-AB92-BFEF43D12BBA}" uniqueName="20" name="Threshold3" queryTableFieldId="20"/>
    <tableColumn id="21" xr3:uid="{7C074EC7-F1D6-2940-80A1-5C428D792275}" uniqueName="21" name="Shocks 2" queryTableFieldId="21"/>
    <tableColumn id="22" xr3:uid="{353C14F8-6119-504A-A5A7-CB0471E731AD}" uniqueName="22" name="Threshold25" queryTableFieldId="22"/>
    <tableColumn id="31" xr3:uid="{F9BC4B49-E9F4-B64C-81D9-16BD143B11AC}" uniqueName="31" name="TIME" queryTableFieldId="31"/>
    <tableColumn id="30" xr3:uid="{6DFDB85F-97C7-2349-B140-E97CB058DDD4}" uniqueName="30" name="CRI SOS" queryTableFieldId="30" dataDxfId="114">
      <calculatedColumnFormula>_xlfn.FORECAST.LINEAR(Final_std_lv325[[#This Row],[TIME]],Final_std_lv325[Resilience Index],Final_std_lv325[TIME])</calculatedColumnFormula>
    </tableColumn>
    <tableColumn id="33" xr3:uid="{76C9EBEC-8840-B54B-951A-011E41065B7F}" uniqueName="33" name="Residual" queryTableFieldId="32" dataDxfId="113">
      <calculatedColumnFormula>Final_std_lv325[[#This Row],[Resilience Index]]-Final_std_lv325[[#This Row],[CRI SOS]]</calculatedColumnFormula>
    </tableColumn>
    <tableColumn id="35" xr3:uid="{963666B7-45D2-2E48-BF02-713B410CECC4}" uniqueName="35" name="SOS L1" queryTableFieldId="34" dataDxfId="112">
      <calculatedColumnFormula>Final_std_lv325[[#This Row],[CRI SOS]]-_xlfn.STDEV.S(J3:J10)</calculatedColumnFormula>
    </tableColumn>
    <tableColumn id="40" xr3:uid="{E1B8CB00-5895-8F44-9987-B9DA07A54575}" uniqueName="40" name="SOS L2" queryTableFieldId="39" dataDxfId="111">
      <calculatedColumnFormula>Final_std_lv325[[#This Row],[CRI SOS]]-2*_xlfn.STDEV.S(J3:J10)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AAE2FB4-5F2B-1844-9D02-C5D30E4E3FEE}" name="Table28" displayName="Table28" ref="A1:Q45" totalsRowShown="0" headerRowDxfId="110" dataDxfId="109" tableBorderDxfId="108">
  <autoFilter ref="A1:Q45" xr:uid="{2AAE2FB4-5F2B-1844-9D02-C5D30E4E3FEE}"/>
  <sortState xmlns:xlrd2="http://schemas.microsoft.com/office/spreadsheetml/2017/richdata2" ref="A2:K45">
    <sortCondition descending="1" ref="H1:H45"/>
  </sortState>
  <tableColumns count="17">
    <tableColumn id="1" xr3:uid="{7A9ACB2A-9958-D048-8AE4-729D32CE29BD}" name="Year" dataDxfId="107"/>
    <tableColumn id="2" xr3:uid="{15DC2FF8-0CC5-4247-8FFF-373DD70315D0}" name="Quarter" dataDxfId="106"/>
    <tableColumn id="3" xr3:uid="{F95FBCA2-C9EE-9D41-95DE-4162D477D9B3}" name="Pillar1 Index" dataDxfId="105">
      <calculatedColumnFormula>POWER(Pillar1_quarterly1018[[#This Row],[A. ASSET]]^10*Pillar1_quarterly1018[[#This Row],[B. ADAPTIVE CAPACITY]],1/10)</calculatedColumnFormula>
    </tableColumn>
    <tableColumn id="4" xr3:uid="{FEFA5767-0FC8-E343-B7DE-25B6CECEF262}" name="Shocks" dataDxfId="104"/>
    <tableColumn id="5" xr3:uid="{C653B3F9-9C53-5A41-9E2C-B6B40F91DF34}" name="Threshold3" dataDxfId="103"/>
    <tableColumn id="6" xr3:uid="{2F2600EC-007C-CA46-8BBC-3A0EBB7155BF}" name="Shocks 2" dataDxfId="102"/>
    <tableColumn id="7" xr3:uid="{7E88AD59-C289-BC4E-8B84-071D32BC8E52}" name="Threshold25" dataDxfId="101"/>
    <tableColumn id="8" xr3:uid="{02D8C97C-57F8-C848-8665-6E94EAB418A3}" name="TIME" dataDxfId="100"/>
    <tableColumn id="9" xr3:uid="{26DC9CC2-D385-AE47-A527-D6C04E68D7D6}" name="Pillar1 SOS" dataDxfId="99">
      <calculatedColumnFormula>_xlfn.FORECAST.LINEAR(Table28[[#This Row],[TIME]],Table28[Pillar1 Index],Table28[TIME])</calculatedColumnFormula>
    </tableColumn>
    <tableColumn id="10" xr3:uid="{3C206FCC-68C4-5741-AECA-821638CB9DB2}" name="Residual" dataDxfId="98">
      <calculatedColumnFormula>'Pillar1 SOS'!$C2-'Pillar1 SOS'!$I2</calculatedColumnFormula>
    </tableColumn>
    <tableColumn id="12" xr3:uid="{2DF12E7B-35FD-DC4E-8A2D-E9DC596224BB}" name="SOS T1" dataDxfId="97">
      <calculatedColumnFormula>'Pillar1 SOS'!$I2-_xlfn.STDEV.S('Pillar1 SOS'!$J$2:$J$45)</calculatedColumnFormula>
    </tableColumn>
    <tableColumn id="14" xr3:uid="{8F9D3AF2-3886-B446-844B-55E4C5D06EEF}" name="SOS T2" dataDxfId="96">
      <calculatedColumnFormula>'Pillar1 SOS'!$I2-2*_xlfn.STDEV.S('Pillar1 SOS'!$J$2:$J$45)</calculatedColumnFormula>
    </tableColumn>
    <tableColumn id="15" xr3:uid="{740471A0-C158-E242-9DC5-1448C51D7885}" name="TIME2" dataDxfId="95"/>
    <tableColumn id="16" xr3:uid="{B64B404D-B139-AC4A-9C0E-3D8D9F38E6CC}" name="Pillar1 SOS2" dataDxfId="94">
      <calculatedColumnFormula>_xlfn.FORECAST.LINEAR(Table28[[#This Row],[TIME2]],Table28[Pillar1 Index],Table28[TIME2])</calculatedColumnFormula>
    </tableColumn>
    <tableColumn id="17" xr3:uid="{8264DE07-5C60-484C-939F-E6E31BF59809}" name="Residuals2" dataDxfId="93">
      <calculatedColumnFormula>Table28[[#This Row],[Pillar1 Index]]-Table28[[#This Row],[Pillar1 SOS2]]</calculatedColumnFormula>
    </tableColumn>
    <tableColumn id="18" xr3:uid="{32A704DC-2159-694D-A6E9-82E8E83C63C7}" name="SOS T1_2" dataDxfId="92">
      <calculatedColumnFormula>N2-_xlfn.STDEV.S(Table28[Residuals2])</calculatedColumnFormula>
    </tableColumn>
    <tableColumn id="19" xr3:uid="{48784858-7C02-3A4B-9F29-63754D5C454F}" name="SOS T2_2" dataDxfId="91">
      <calculatedColumnFormula>N2-2*_xlfn.STDEV.S(Table28[Residuals2])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024EE83-D6D7-394A-8FE7-DB9699805BB5}" name="Final_std_lv3252627" displayName="Final_std_lv3252627" ref="A1:Q45" tableType="queryTable" totalsRowShown="0">
  <autoFilter ref="A1:Q45" xr:uid="{C024EE83-D6D7-394A-8FE7-DB9699805BB5}"/>
  <tableColumns count="17">
    <tableColumn id="1" xr3:uid="{00AB14E4-CD16-2440-AD35-52A68BCF4651}" uniqueName="1" name="Year" queryTableFieldId="1"/>
    <tableColumn id="2" xr3:uid="{ADB842C2-A8FD-C24E-BA67-6E1EBB47007B}" uniqueName="2" name="Quarter" queryTableFieldId="2"/>
    <tableColumn id="26" xr3:uid="{908B243B-D473-6847-99B9-A46E144B964D}" uniqueName="26" name="Pillar2" queryTableFieldId="26" dataDxfId="90">
      <calculatedColumnFormula>POWER(Pillar2_quarterly1419[[#This Row],[A. SUPPLY &amp; DIVERSIFICATION]]^3*Pillar2_quarterly1419[[#This Row],[B. SUPPLY CHAIN]]^2*Pillar2_quarterly1419[[#This Row],[C. TRADE &amp; MARKET DEPENDENCY]]^2, 1/7)</calculatedColumnFormula>
    </tableColumn>
    <tableColumn id="19" xr3:uid="{5851B2BB-0F11-4B45-9D98-5A9F39B034D3}" uniqueName="19" name="Shocks" queryTableFieldId="19"/>
    <tableColumn id="20" xr3:uid="{86310E0B-7320-F24D-B47E-876E535416B8}" uniqueName="20" name="Threshold3" queryTableFieldId="20"/>
    <tableColumn id="21" xr3:uid="{592A3A13-EC5F-CA4B-B836-F366006762C1}" uniqueName="21" name="Shocks 2" queryTableFieldId="21"/>
    <tableColumn id="22" xr3:uid="{249582F8-12D3-6B45-BA68-0207F55ACB90}" uniqueName="22" name="Threshold25" queryTableFieldId="22"/>
    <tableColumn id="31" xr3:uid="{B309BECE-E320-BE4C-BAD1-0844CA77E5CF}" uniqueName="31" name="TIME" queryTableFieldId="31"/>
    <tableColumn id="30" xr3:uid="{B0E309F7-55C1-2D4F-B981-209E228C08FB}" uniqueName="30" name="Pillar2 SOS" queryTableFieldId="30" dataDxfId="89">
      <calculatedColumnFormula>_xlfn.FORECAST.LINEAR(Final_std_lv3252627[[#This Row],[TIME]],Final_std_lv3252627[Pillar2],Final_std_lv3252627[TIME])</calculatedColumnFormula>
    </tableColumn>
    <tableColumn id="33" xr3:uid="{215EE277-595F-3746-B6F2-4F25D93280C7}" uniqueName="33" name="Residual" queryTableFieldId="32" dataDxfId="88">
      <calculatedColumnFormula>Final_std_lv3252627[[#This Row],[Pillar2]]-Final_std_lv3252627[[#This Row],[Pillar2 SOS]]</calculatedColumnFormula>
    </tableColumn>
    <tableColumn id="35" xr3:uid="{C79DE909-9EB0-E34F-B793-A3802B851736}" uniqueName="35" name="SOS T1" queryTableFieldId="34" dataDxfId="87">
      <calculatedColumnFormula>Final_std_lv3252627[[#This Row],[Pillar2 SOS]]-_xlfn.STDEV.S(Final_std_lv3252627[Residual])</calculatedColumnFormula>
    </tableColumn>
    <tableColumn id="41" xr3:uid="{56DD4AB9-D890-BA41-9CE9-47F3809F5A42}" uniqueName="41" name="SOS T2" queryTableFieldId="40" dataDxfId="86">
      <calculatedColumnFormula>Final_std_lv3252627[[#This Row],[Pillar2 SOS]]-2*_xlfn.STDEV.S(Final_std_lv3252627[Residual])</calculatedColumnFormula>
    </tableColumn>
    <tableColumn id="36" xr3:uid="{98378350-4E13-DB4C-A61F-FFB1D73C7801}" uniqueName="36" name="TIME2" queryTableFieldId="35" dataDxfId="85"/>
    <tableColumn id="37" xr3:uid="{FDA78F59-8CC5-4649-860E-C29856C1F8D8}" uniqueName="37" name="Pillar2 SOS2" queryTableFieldId="36" dataDxfId="84">
      <calculatedColumnFormula>_xlfn.FORECAST.LINEAR(M2, $C$2:$C$45, $M$2:$M$45)</calculatedColumnFormula>
    </tableColumn>
    <tableColumn id="38" xr3:uid="{A21F4D1E-E5A3-584C-B9CF-BCA65726E4D2}" uniqueName="38" name="Residuals2" queryTableFieldId="37" dataDxfId="83">
      <calculatedColumnFormula>C2-N2</calculatedColumnFormula>
    </tableColumn>
    <tableColumn id="39" xr3:uid="{BD981D66-C63D-8949-AA8E-4DC3519A3E31}" uniqueName="39" name="SOS T1_2" queryTableFieldId="38" dataDxfId="82">
      <calculatedColumnFormula>N2-_xlfn.STDEV.S(Final_std_lv3252627[Residuals2])</calculatedColumnFormula>
    </tableColumn>
    <tableColumn id="40" xr3:uid="{C24B460D-23A4-BF4E-969A-6F60BC5DFE05}" uniqueName="40" name="SOS T2_2" queryTableFieldId="39" dataDxfId="81">
      <calculatedColumnFormula>N2-2*_xlfn.STDEV.S(Final_std_lv3252627[Residuals2])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C6A699E-725A-8047-BB9B-63ED69B11750}" name="Final_std_lv325262728" displayName="Final_std_lv325262728" ref="A1:L45" tableType="queryTable" totalsRowShown="0">
  <autoFilter ref="A1:L45" xr:uid="{4C6A699E-725A-8047-BB9B-63ED69B11750}"/>
  <tableColumns count="12">
    <tableColumn id="1" xr3:uid="{823AFBA3-74C6-F34A-9A3D-CFBB81A73E3F}" uniqueName="1" name="Year" queryTableFieldId="1"/>
    <tableColumn id="2" xr3:uid="{3F450BB1-92C5-2649-BAB4-924D6E0A2EF1}" uniqueName="2" name="Quarter" queryTableFieldId="2"/>
    <tableColumn id="26" xr3:uid="{EE51D323-1C54-6644-AA1A-EC17CA951E18}" uniqueName="26" name="Pillar 3" queryTableFieldId="26" dataDxfId="80">
      <calculatedColumnFormula>POWER(Pillar3_quarterly1520[[#This Row],[A. ECONOMIC]]^3*Pillar3_quarterly1520[[#This Row],[B. BIOPHYSICAL &amp; CLIMATE]]^3, 1/6)</calculatedColumnFormula>
    </tableColumn>
    <tableColumn id="19" xr3:uid="{948917A2-6F1F-6A4F-964D-C4F0B2B48627}" uniqueName="19" name="Shocks" queryTableFieldId="19"/>
    <tableColumn id="20" xr3:uid="{54F04318-7074-1E4C-9014-1213FC925895}" uniqueName="20" name="Threshold3" queryTableFieldId="20"/>
    <tableColumn id="21" xr3:uid="{CE10D170-9F93-9C49-A6FB-26EF86163D09}" uniqueName="21" name="Shocks 2" queryTableFieldId="21"/>
    <tableColumn id="22" xr3:uid="{E84EE74D-4BB2-014C-A6EC-55FF827DD01C}" uniqueName="22" name="Threshold25" queryTableFieldId="22"/>
    <tableColumn id="31" xr3:uid="{C9349527-D8F8-3541-847F-FBEF87998B8D}" uniqueName="31" name="TIME" queryTableFieldId="31"/>
    <tableColumn id="30" xr3:uid="{BC873762-B424-6E45-AFDB-0A070E08F5BA}" uniqueName="30" name="Pillar3 Trendline" queryTableFieldId="30" dataDxfId="79">
      <calculatedColumnFormula>_xlfn.FORECAST.LINEAR(Final_std_lv325262728[[#This Row],[TIME]],Final_std_lv325262728[Pillar 3],Final_std_lv325262728[TIME])</calculatedColumnFormula>
    </tableColumn>
    <tableColumn id="33" xr3:uid="{D9FC6115-1E52-DF42-8595-8A24B938CB24}" uniqueName="33" name="Residual" queryTableFieldId="32" dataDxfId="78">
      <calculatedColumnFormula>Final_std_lv325262728[[#This Row],[Pillar 3]]-Final_std_lv325262728[[#This Row],[Pillar3 Trendline]]</calculatedColumnFormula>
    </tableColumn>
    <tableColumn id="35" xr3:uid="{18179B37-3C8C-094C-B350-62AB934946A9}" uniqueName="35" name="SOS T1" queryTableFieldId="34" dataDxfId="77">
      <calculatedColumnFormula>Final_std_lv325262728[[#This Row],[Pillar3 Trendline]]-_xlfn.STDEV.S(Final_std_lv325262728[Residual])</calculatedColumnFormula>
    </tableColumn>
    <tableColumn id="36" xr3:uid="{A791E35A-240F-D343-A281-0FAB7C0EBF0D}" uniqueName="36" name="SOS T2" queryTableFieldId="35" dataDxfId="76">
      <calculatedColumnFormula>Final_std_lv325262728[[#This Row],[Pillar3 Trendline]]-2*_xlfn.STDEV.S(Final_std_lv325262728[Residual])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D1F563F-B928-3B46-B896-837486FDA06A}" name="Final_std_lv3" displayName="Final_std_lv3" ref="A1:J45" tableType="queryTable" totalsRowShown="0">
  <autoFilter ref="A1:J45" xr:uid="{2D1F563F-B928-3B46-B896-837486FDA06A}"/>
  <tableColumns count="10">
    <tableColumn id="1" xr3:uid="{ADAAFA93-217B-3D45-A7AA-07799801BA04}" uniqueName="1" name="Year" queryTableFieldId="1"/>
    <tableColumn id="2" xr3:uid="{E82D6DDA-379C-C847-9D05-44AABFC4E9C4}" uniqueName="2" name="Quarter" queryTableFieldId="2"/>
    <tableColumn id="23" xr3:uid="{D1AE6493-AD21-934A-9E6F-607F3FEB24C8}" uniqueName="23" name="Pillar 1: Resilience Capacities" queryTableFieldId="23" dataDxfId="75">
      <calculatedColumnFormula>POWER(Pillar1_quarterly1018[[#This Row],[A. ASSET]]^10*Pillar1_quarterly1018[[#This Row],[B. ADAPTIVE CAPACITY]],1/10)</calculatedColumnFormula>
    </tableColumn>
    <tableColumn id="24" xr3:uid="{992BC3A9-C94D-E843-955E-9864B1E0AE69}" uniqueName="24" name="Pillar 2: System Structure &amp; Connectivity" queryTableFieldId="24" dataDxfId="74">
      <calculatedColumnFormula>POWER(Pillar2_quarterly1419[[#This Row],[A. SUPPLY &amp; DIVERSIFICATION]]^3*Pillar2_quarterly1419[[#This Row],[B. SUPPLY CHAIN]]^2*Pillar2_quarterly1419[[#This Row],[C. TRADE &amp; MARKET DEPENDENCY]]^2, 1/7)</calculatedColumnFormula>
    </tableColumn>
    <tableColumn id="25" xr3:uid="{A7A61CA7-CC36-B84F-9240-F2E7583C8E14}" uniqueName="25" name="Pillar 3: Exposure to Shocks &amp; Stressors" queryTableFieldId="25" dataDxfId="73">
      <calculatedColumnFormula>POWER(Pillar3_quarterly1520[[#This Row],[A. ECONOMIC]]^3*Pillar3_quarterly1520[[#This Row],[B. BIOPHYSICAL &amp; CLIMATE]]^3, 1/6)</calculatedColumnFormula>
    </tableColumn>
    <tableColumn id="26" xr3:uid="{83C32595-65F0-F140-B625-9BDA8EA58999}" uniqueName="26" name="Resilience Index" queryTableFieldId="26" dataDxfId="72">
      <calculatedColumnFormula>POWER(Final_std_lv3[[#This Row],[Pillar 1: Resilience Capacities]]^10*Final_std_lv3[[#This Row],[Pillar 2: System Structure &amp; Connectivity]]^7*Final_std_lv3[[#This Row],[Pillar 3: Exposure to Shocks &amp; Stressors]]^6, 1/23)</calculatedColumnFormula>
    </tableColumn>
    <tableColumn id="19" xr3:uid="{7C710190-E6FA-F24C-9C0B-2E56E5F4A27E}" uniqueName="19" name="Shocks" queryTableFieldId="19"/>
    <tableColumn id="20" xr3:uid="{47F14831-8DC9-AF4E-A7C9-555A7BD88562}" uniqueName="20" name="Threshold3" queryTableFieldId="20"/>
    <tableColumn id="21" xr3:uid="{8893F944-CFE4-8145-A982-9E87617490D6}" uniqueName="21" name="Shocks 2" queryTableFieldId="21"/>
    <tableColumn id="22" xr3:uid="{DDBC65A8-CD4C-1E47-965F-D10E6F57C629}" uniqueName="22" name="Threshold25" queryTableFieldId="2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ADCDA2E-C9AF-7549-A04C-86D0E305EBA8}" name="Pillar1_quarterly1018" displayName="Pillar1_quarterly1018" ref="A1:L45" tableType="queryTable" totalsRowShown="0" headerRowDxfId="71">
  <autoFilter ref="A1:L45" xr:uid="{BADCDA2E-C9AF-7549-A04C-86D0E305EBA8}"/>
  <tableColumns count="12">
    <tableColumn id="1" xr3:uid="{17560CA0-E4CD-3541-A05F-2067E866B3D1}" uniqueName="1" name="Year" queryTableFieldId="1"/>
    <tableColumn id="2" xr3:uid="{B3F7CD79-7ACE-CB48-A9B1-D2A73AC93179}" uniqueName="2" name="Quarter" queryTableFieldId="2"/>
    <tableColumn id="39" xr3:uid="{9435F8FE-819C-8B45-A696-595A3462FAFF}" uniqueName="39" name="A. ASSET" queryTableFieldId="39" dataDxfId="70">
      <calculatedColumnFormula>POWER(Pillar1_quarterly1018[[#This Row],[A1. Financial]]^3*Pillar1_quarterly1018[[#This Row],[A2. Physical]]^2*Pillar1_quarterly1018[[#This Row],[A3. Human]]^4*Pillar1_quarterly1018[[#This Row],[A4. Social]],1/9)</calculatedColumnFormula>
    </tableColumn>
    <tableColumn id="36" xr3:uid="{671675D6-2D11-5942-AF2B-569BD429278C}" uniqueName="36" name="A1. Financial" queryTableFieldId="36" dataDxfId="69" totalsRowDxfId="68">
      <calculatedColumnFormula>POWER(Pillar1_quarterly10[[#This Row],[GRDP per capital growth YoY]]*Pillar1_quarterly10[[#This Row],[Income per capital YoY]]*Pillar1_quarterly10[[#This Row],[Poverty rate YoY]],1/3)</calculatedColumnFormula>
    </tableColumn>
    <tableColumn id="37" xr3:uid="{3E30CA0A-FC21-7B42-B4D7-FA4772F7D738}" uniqueName="37" name="A2. Physical" queryTableFieldId="37" dataDxfId="67">
      <calculatedColumnFormula>POWER(Pillar1_quarterly10[[#This Row],[% semi-permanent housing and below]]*Pillar1_quarterly10[[#This Row],[% of Agriculture land]],1/2)</calculatedColumnFormula>
    </tableColumn>
    <tableColumn id="38" xr3:uid="{012AC345-C0D4-B748-BA00-EB923F482B6E}" uniqueName="38" name="A3. Human" queryTableFieldId="38" dataDxfId="66" totalsRowDxfId="65">
      <calculatedColumnFormula>POWER(Pillar1_quarterly10[[#This Row],[Literacy rate of population aged 15+ ]]*Pillar1_quarterly10[[#This Row],[Rate of trained labor (%)]]*Pillar1_quarterly10[[#This Row],[Social security rate (%)]],1/3)</calculatedColumnFormula>
    </tableColumn>
    <tableColumn id="13" xr3:uid="{4658FEBA-BF52-FE45-B0EB-0C9E2CC9B8EE}" uniqueName="13" name="A4. Social" queryTableFieldId="13"/>
    <tableColumn id="14" xr3:uid="{A296F2BB-321C-D945-BB71-D648185BA860}" uniqueName="14" name="B. ADAPTIVE CAPACITY" queryTableFieldId="14"/>
    <tableColumn id="32" xr3:uid="{07E1C01B-186D-3E48-B384-8ED9AE5401C6}" uniqueName="32" name="Shocks" queryTableFieldId="32" dataDxfId="64"/>
    <tableColumn id="33" xr3:uid="{FAFC74F6-BD7F-4C40-80DE-9159B8E17C91}" uniqueName="33" name="Threshold" queryTableFieldId="33" dataDxfId="63"/>
    <tableColumn id="34" xr3:uid="{C7C61648-E8BD-DF40-AF65-3D6A458519D3}" uniqueName="34" name="Shocks 2" queryTableFieldId="34" dataDxfId="62"/>
    <tableColumn id="35" xr3:uid="{F709A13E-93D6-C247-AA22-6F56086397AB}" uniqueName="35" name="Threshold2" queryTableFieldId="35" dataDxfId="6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1DA2FA0-7678-AF4F-AA9F-42F7F02ADA55}" name="Pillar2_quarterly1419" displayName="Pillar2_quarterly1419" ref="A1:N45" tableType="queryTable" totalsRowShown="0" headerRowDxfId="60">
  <autoFilter ref="A1:N45" xr:uid="{21DA2FA0-7678-AF4F-AA9F-42F7F02ADA55}"/>
  <tableColumns count="14">
    <tableColumn id="1" xr3:uid="{5EAA4AC9-358A-C043-81CF-D9EB18F73FCA}" uniqueName="1" name="Year" queryTableFieldId="1"/>
    <tableColumn id="2" xr3:uid="{4E9B5C55-1C24-534B-BDED-DE47C1EC4621}" uniqueName="2" name="Quarter" queryTableFieldId="2"/>
    <tableColumn id="28" xr3:uid="{79FE13B4-CFE5-E942-9EFC-785503439122}" uniqueName="28" name="A. SUPPLY &amp; DIVERSIFICATION" queryTableFieldId="35" dataDxfId="59">
      <calculatedColumnFormula>POWER(Pillar2_quarterly1419[[#This Row],[A1. Local production output]]*Pillar2_quarterly1419[[#This Row],[A2. Food self-sufficiency rate ]]*Pillar2_quarterly1419[[#This Row],[A3. Dietary diversity score]], 1/3)</calculatedColumnFormula>
    </tableColumn>
    <tableColumn id="11" xr3:uid="{9F7D1C22-04C9-DF4A-A1F8-90EC22E047BD}" uniqueName="11" name="A1. Local production output" queryTableFieldId="30" dataDxfId="58">
      <calculatedColumnFormula>POWER(Pillar2_quarterly14[[#This Row],[Rice production (tons)]]*Pillar2_quarterly14[[#This Row],[Fishery production (tons)]]*Pillar2_quarterly14[[#This Row],[Meat production]], 1/3)</calculatedColumnFormula>
    </tableColumn>
    <tableColumn id="27" xr3:uid="{43A441B6-6DF5-C348-8B4F-39D3E9EC5052}" uniqueName="27" name="A2. Food self-sufficiency rate " queryTableFieldId="34" dataDxfId="57">
      <calculatedColumnFormula>POWER(Pillar2_quarterly14[[#This Row],[Rice self-sufficiency rate]]*Pillar2_quarterly14[[#This Row],[Meat self-sufficiency rate]]*Pillar2_quarterly14[[#This Row],[Fish self-sufficiency rate]], 1/3)</calculatedColumnFormula>
    </tableColumn>
    <tableColumn id="8" xr3:uid="{9D20C501-547B-914C-ABCB-8E970E4EC450}" uniqueName="8" name="A3. Dietary diversity score" queryTableFieldId="8" dataDxfId="56"/>
    <tableColumn id="9" xr3:uid="{F7A9012E-373F-9C44-8DC2-4483592FD312}" uniqueName="9" name="B. SUPPLY CHAIN" queryTableFieldId="9"/>
    <tableColumn id="29" xr3:uid="{A57711A4-D3CD-6849-AA1C-FD619056B619}" uniqueName="29" name="C. TRADE &amp; MARKET DEPENDENCY" queryTableFieldId="36" dataDxfId="55">
      <calculatedColumnFormula>POWER(Pillar2_quarterly1419[[#This Row],[C1.Import dependency ratio ]]*Pillar2_quarterly1419[[#This Row],[C2.Supplier concentration level]], 1/2)</calculatedColumnFormula>
    </tableColumn>
    <tableColumn id="31" xr3:uid="{F61A6AB4-9DAF-6445-BFAC-DD4FD83B76A4}" uniqueName="31" name="C1.Import dependency ratio " queryTableFieldId="37" dataDxfId="54">
      <calculatedColumnFormula>POWER(Pillar2_quarterly14[[#This Row],[Rice import rate]]+Pillar2_quarterly14[[#This Row],[Meat import rate]]+Pillar2_quarterly14[[#This Row],[Fish import rate]],1/3)</calculatedColumnFormula>
    </tableColumn>
    <tableColumn id="32" xr3:uid="{0DED9670-EA4B-224B-86A0-42F2466F10D0}" uniqueName="32" name="C2.Supplier concentration level" queryTableFieldId="38" dataDxfId="53">
      <calculatedColumnFormula>POWER(Pillar2_quarterly14[[#This Row],[Rice HHI for import partners]]*Pillar2_quarterly14[[#This Row],[Meat HHI for import partners]]*Pillar2_quarterly14[[#This Row],[Fish HHI for import partners]], 1/3)</calculatedColumnFormula>
    </tableColumn>
    <tableColumn id="4" xr3:uid="{2CACC203-0171-4E4A-9FCB-9D83192752A2}" uniqueName="4" name="Shocks" queryTableFieldId="26" dataDxfId="52"/>
    <tableColumn id="5" xr3:uid="{FD77DAEA-3DBB-3847-A3E1-AA6D3C777B19}" uniqueName="5" name="Threshold" queryTableFieldId="27" dataDxfId="51"/>
    <tableColumn id="6" xr3:uid="{F7C69EEF-0316-6B41-877D-6024917B1C4C}" uniqueName="6" name="Shocks 2" queryTableFieldId="28" dataDxfId="50"/>
    <tableColumn id="7" xr3:uid="{9DEF22A6-98A6-9A40-B71C-63D5BF8B0CDE}" uniqueName="7" name="Threshold2" queryTableFieldId="29" dataDxfId="4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C73B4BB-D852-8547-BAE8-B92C2021227D}" name="Pillar3_quarterly1520" displayName="Pillar3_quarterly1520" ref="A1:H45" tableType="queryTable" totalsRowShown="0">
  <autoFilter ref="A1:H45" xr:uid="{EC73B4BB-D852-8547-BAE8-B92C2021227D}"/>
  <sortState xmlns:xlrd2="http://schemas.microsoft.com/office/spreadsheetml/2017/richdata2" ref="A2:C45">
    <sortCondition descending="1" ref="A1:A45"/>
  </sortState>
  <tableColumns count="8">
    <tableColumn id="1" xr3:uid="{251C0656-E63B-3041-8F7B-F57D894BF69F}" uniqueName="1" name="Year" queryTableFieldId="1"/>
    <tableColumn id="2" xr3:uid="{153D732E-7E1E-1E43-BF7F-AF505BEBEB19}" uniqueName="2" name="Quarter" queryTableFieldId="2"/>
    <tableColumn id="13" xr3:uid="{14556D30-E0DE-B848-A63D-6886459E2244}" uniqueName="13" name="A. ECONOMIC" queryTableFieldId="13" dataDxfId="48">
      <calculatedColumnFormula>POWER(Pillar3_quarterly15[[#This Row],[Food CPI Quarter YoY]]*Pillar3_quarterly15[[#This Row],[Diesel price Quarter YoY]]*Pillar3_quarterly15[[#This Row],[GRDP growth Quarter YoY]], 1/3)</calculatedColumnFormula>
    </tableColumn>
    <tableColumn id="14" xr3:uid="{47F2A2D4-13ED-9543-8AE4-67FAC43BCAFA}" uniqueName="14" name="B. BIOPHYSICAL &amp; CLIMATE" queryTableFieldId="14" dataDxfId="47">
      <calculatedColumnFormula>POWER((Pillar3_quarterly15[[#This Row],[number_of_extreme_hot_days]]*Pillar3_quarterly15[[#This Row],[total_abnormal_rainfall_events]]*Pillar3_quarterly15[[#This Row],[total_storm_events]]), 1/3)</calculatedColumnFormula>
    </tableColumn>
    <tableColumn id="9" xr3:uid="{20090F36-6F5B-7148-80A2-5963510A436B}" uniqueName="9" name="Shocks" queryTableFieldId="9" dataDxfId="46"/>
    <tableColumn id="10" xr3:uid="{367389F6-2D74-4C48-A6F7-9487DD08DC31}" uniqueName="10" name="Threshold" queryTableFieldId="10" dataDxfId="45"/>
    <tableColumn id="11" xr3:uid="{2CA970F6-CF63-AB48-A426-FA2DCF312CAD}" uniqueName="11" name="Shocks 2" queryTableFieldId="11" dataDxfId="44"/>
    <tableColumn id="12" xr3:uid="{632092EA-044B-F04B-86CA-AE89CE1D5EF7}" uniqueName="12" name="Threshold2" queryTableFieldId="12" dataDxfId="4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4DCDE9-09B9-2046-946A-FB98EDC44E8B}" name="Pillar1_quarterly10" displayName="Pillar1_quarterly10" ref="A1:R46" tableType="queryTable" totalsRowShown="0" headerRowDxfId="42">
  <autoFilter ref="A1:R46" xr:uid="{A94DCDE9-09B9-2046-946A-FB98EDC44E8B}"/>
  <tableColumns count="18">
    <tableColumn id="1" xr3:uid="{15EE3921-8F75-BA43-BC81-8157CCC27C5F}" uniqueName="1" name="Year" queryTableFieldId="1"/>
    <tableColumn id="2" xr3:uid="{44CCCA8D-60CA-754C-A4D4-65E52B7D54DE}" uniqueName="2" name="Quarter" queryTableFieldId="2"/>
    <tableColumn id="15" xr3:uid="{11B3CEF4-C2E4-3648-820E-CC1505D74C11}" uniqueName="15" name="GRDP per capital growth YoY" queryTableFieldId="15" dataDxfId="41" totalsRowDxfId="40"/>
    <tableColumn id="17" xr3:uid="{3218F9DE-5DB4-004E-9219-6D828618EDC1}" uniqueName="17" name="Income per capital YoY" queryTableFieldId="17" dataDxfId="39" totalsRowDxfId="38"/>
    <tableColumn id="16" xr3:uid="{2052D997-66B4-E548-BEE7-9A441870870D}" uniqueName="16" name="Poverty rate YoY" queryTableFieldId="16" dataDxfId="37" totalsRowDxfId="36"/>
    <tableColumn id="6" xr3:uid="{C22881C7-F1F7-EB4D-A547-5F16BD9797F9}" uniqueName="6" name="% semi-permanent housing and below" queryTableFieldId="6"/>
    <tableColumn id="8" xr3:uid="{F57744AC-E69D-4B46-9658-F5371E06E1DF}" uniqueName="8" name="% of Agriculture land" queryTableFieldId="8"/>
    <tableColumn id="9" xr3:uid="{C65AF3A5-AA07-294C-9E5B-4284C92A5BD0}" uniqueName="9" name="Literacy rate of population aged 15+ " queryTableFieldId="9"/>
    <tableColumn id="10" xr3:uid="{47174E89-160C-6C4C-B07D-C231A749E213}" uniqueName="10" name="Rate of trained labor (%)" queryTableFieldId="10"/>
    <tableColumn id="11" xr3:uid="{8079CBC1-1ADE-AE42-BF00-07028AD71BF0}" uniqueName="11" name="Social insurance coverage rate (%)" queryTableFieldId="11"/>
    <tableColumn id="12" xr3:uid="{3BB9D57F-7264-0447-B2C7-6194B1650FA0}" uniqueName="12" name="Health insurance coverage rate (%)" queryTableFieldId="12" dataDxfId="35" totalsRowDxfId="34"/>
    <tableColumn id="36" xr3:uid="{E2C6D347-BD11-B54C-A8AC-BF6F79975F1C}" uniqueName="36" name="Social security rate (%)" queryTableFieldId="36" dataDxfId="33">
      <calculatedColumnFormula>(Pillar1_quarterly10[[#This Row],[Social insurance coverage rate (%)]]+Pillar1_quarterly10[[#This Row],[Health insurance coverage rate (%)]])/2</calculatedColumnFormula>
    </tableColumn>
    <tableColumn id="13" xr3:uid="{B73A2582-2FF3-FD44-8337-F30E9B8AAB9A}" uniqueName="13" name="Expenditure on human health, population and family planning / GRDP (%)" queryTableFieldId="13"/>
    <tableColumn id="14" xr3:uid="{BCC55231-FE37-314F-ABBD-0D5F18EAD86A}" uniqueName="14" name="HHI for Employed population by economic sector" queryTableFieldId="14"/>
    <tableColumn id="32" xr3:uid="{81D80049-AE94-C64F-AAEC-738DF90CA8CB}" uniqueName="32" name="Shocks" queryTableFieldId="32" dataDxfId="32"/>
    <tableColumn id="33" xr3:uid="{4244B328-3A19-274C-9280-704B7EE182B3}" uniqueName="33" name="Threshold" queryTableFieldId="33" dataDxfId="31"/>
    <tableColumn id="34" xr3:uid="{78638B4A-19C9-1241-B35A-F6E3EC9197B2}" uniqueName="34" name="Shocks 2" queryTableFieldId="34" dataDxfId="30"/>
    <tableColumn id="35" xr3:uid="{4E8F92BE-7DD9-5240-AE53-1B06C9FE9D0A}" uniqueName="35" name="Threshold2" queryTableFieldId="35" dataDxfId="2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CF21B0-ABD0-7042-B6C4-8C96353D1D46}" name="Pillar2_quarterly14" displayName="Pillar2_quarterly14" ref="A1:U46" tableType="queryTable" totalsRowShown="0" headerRowDxfId="28">
  <autoFilter ref="A1:U46" xr:uid="{B3CF21B0-ABD0-7042-B6C4-8C96353D1D46}"/>
  <tableColumns count="21">
    <tableColumn id="1" xr3:uid="{A3E0CBDE-3795-5649-92A0-022172B534CB}" uniqueName="1" name="Year" queryTableFieldId="1"/>
    <tableColumn id="2" xr3:uid="{5105FF7D-8933-DA4A-8905-6471603E689C}" uniqueName="2" name="Quarter" queryTableFieldId="2"/>
    <tableColumn id="23" xr3:uid="{255B1CBF-3138-974E-8136-9C7F4093A219}" uniqueName="23" name="Rice production (tons)" queryTableFieldId="23" dataDxfId="27">
      <calculatedColumnFormula>#REF!*90%*65%*1000</calculatedColumnFormula>
    </tableColumn>
    <tableColumn id="24" xr3:uid="{681731C2-D73C-0E42-90E9-41C75EDC7BA1}" uniqueName="24" name="Fishery production (tons)" queryTableFieldId="24" dataDxfId="26">
      <calculatedColumnFormula>#REF!*85%*40%</calculatedColumnFormula>
    </tableColumn>
    <tableColumn id="22" xr3:uid="{065F9C85-AD0F-0F49-8E5C-272B23962694}" uniqueName="22" name="Meat production" queryTableFieldId="22" dataDxfId="25"/>
    <tableColumn id="8" xr3:uid="{BF45D846-685A-AD4C-BBEA-8E0131EAB1C6}" uniqueName="8" name="% of expenditure on non-staple food groups." queryTableFieldId="8" dataDxfId="24"/>
    <tableColumn id="9" xr3:uid="{B1E54633-5C69-3C44-8F39-BAB8061FD281}" uniqueName="9" name="Total markets/supermarkets" queryTableFieldId="9"/>
    <tableColumn id="10" xr3:uid="{17489ACD-A447-584E-812E-B63C730C54CE}" uniqueName="10" name="PCI" queryTableFieldId="10" dataDxfId="23"/>
    <tableColumn id="12" xr3:uid="{6656DE96-A26A-3048-BFE3-B3BAEFEDC444}" uniqueName="12" name="Rice self-sufficiency rate" queryTableFieldId="12" dataDxfId="22"/>
    <tableColumn id="13" xr3:uid="{95DB0C72-C163-C140-B3F0-B0BD9323A9C6}" uniqueName="13" name="Meat self-sufficiency rate" queryTableFieldId="13" dataDxfId="21"/>
    <tableColumn id="14" xr3:uid="{686B1284-6EEE-074C-8ACF-D6AA0B013351}" uniqueName="14" name="Fish self-sufficiency rate" queryTableFieldId="14" dataDxfId="20"/>
    <tableColumn id="15" xr3:uid="{AADCE2CD-9EA7-684D-B30F-3A7B0CF48118}" uniqueName="15" name="Rice import rate" queryTableFieldId="15" dataDxfId="19"/>
    <tableColumn id="16" xr3:uid="{2435B963-96B6-7349-BB8B-2A88701AED16}" uniqueName="16" name="Meat import rate" queryTableFieldId="16" dataDxfId="18"/>
    <tableColumn id="17" xr3:uid="{B3FC7941-6B25-B548-8C66-5821E728D610}" uniqueName="17" name="Fish import rate" queryTableFieldId="17" dataDxfId="17"/>
    <tableColumn id="18" xr3:uid="{8D7C3CF6-DC27-BE43-A46D-411EA475BFD6}" uniqueName="18" name="Rice HHI for import partners" queryTableFieldId="18" dataDxfId="16"/>
    <tableColumn id="19" xr3:uid="{1C3B9644-2408-F14E-A58A-299C210B2ED6}" uniqueName="19" name="Meat HHI for import partners" queryTableFieldId="19" dataDxfId="15"/>
    <tableColumn id="20" xr3:uid="{E7BDA4C5-3A6C-AC46-BC5E-FA4DCC3FA2A1}" uniqueName="20" name="Fish HHI for import partners" queryTableFieldId="20" dataDxfId="14"/>
    <tableColumn id="4" xr3:uid="{9A39A607-CDE7-5344-914A-CFD83D830A43}" uniqueName="4" name="Shocks" queryTableFieldId="26" dataDxfId="13"/>
    <tableColumn id="5" xr3:uid="{4491B53E-8DC2-404D-853F-22EB81BA8D79}" uniqueName="5" name="Threshold" queryTableFieldId="27" dataDxfId="12"/>
    <tableColumn id="6" xr3:uid="{C1A95D83-82BD-9F4F-8267-2B2529FA0B33}" uniqueName="6" name="Shocks 2" queryTableFieldId="28" dataDxfId="11"/>
    <tableColumn id="7" xr3:uid="{18317893-1BCA-7C4B-AB05-92FEA568EED8}" uniqueName="7" name="Threshold2" queryTableFieldId="29" dataDxf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CFF85B-F41A-014E-8476-BB68A8516517}" name="Pillar3_quarterly15" displayName="Pillar3_quarterly15" ref="A1:L45" tableType="queryTable" totalsRowShown="0">
  <autoFilter ref="A1:L45" xr:uid="{A8CFF85B-F41A-014E-8476-BB68A8516517}"/>
  <sortState xmlns:xlrd2="http://schemas.microsoft.com/office/spreadsheetml/2017/richdata2" ref="A2:H45">
    <sortCondition descending="1" ref="A1:A45"/>
  </sortState>
  <tableColumns count="12">
    <tableColumn id="1" xr3:uid="{4FF53AD2-6FA6-114E-B382-ADAF15BE43C1}" uniqueName="1" name="Year" queryTableFieldId="1"/>
    <tableColumn id="2" xr3:uid="{9DD789C4-4B1E-5C43-9BA2-F9300AF33770}" uniqueName="2" name="Quarter" queryTableFieldId="2"/>
    <tableColumn id="3" xr3:uid="{CE318390-C7E7-684E-A77B-248D974AC671}" uniqueName="3" name="Food CPI Quarter YoY" queryTableFieldId="3" dataDxfId="9"/>
    <tableColumn id="4" xr3:uid="{05193547-517D-2141-AD57-83C604EF9990}" uniqueName="4" name="Diesel price Quarter YoY" queryTableFieldId="4" dataDxfId="8"/>
    <tableColumn id="5" xr3:uid="{ACDA4D61-8E4C-5E4C-AA19-7B03AEAB3271}" uniqueName="5" name="GRDP growth Quarter YoY" queryTableFieldId="5" dataDxfId="7"/>
    <tableColumn id="6" xr3:uid="{6B39E2EA-B88E-A54F-A872-777EE85AE697}" uniqueName="6" name="number_of_extreme_hot_days" queryTableFieldId="6" dataDxfId="6"/>
    <tableColumn id="7" xr3:uid="{2C8A6079-639D-A441-A410-CC82C644AA39}" uniqueName="7" name="total_abnormal_rainfall_events" queryTableFieldId="7" dataDxfId="5"/>
    <tableColumn id="8" xr3:uid="{D5AE6D8E-72F8-A14F-933E-DDD33E61F750}" uniqueName="8" name="total_storm_events" queryTableFieldId="8" dataDxfId="4"/>
    <tableColumn id="9" xr3:uid="{15EBF42E-6923-6D4C-8860-BC9661D689C2}" uniqueName="9" name="Shocks" queryTableFieldId="9" dataDxfId="3"/>
    <tableColumn id="10" xr3:uid="{D3058B9D-35DD-FA4D-9A66-452E2EB16B47}" uniqueName="10" name="Threshold" queryTableFieldId="10" dataDxfId="2"/>
    <tableColumn id="11" xr3:uid="{B7EF2682-2A03-424C-82E4-98D04AFCF428}" uniqueName="11" name="Shocks 2" queryTableFieldId="11" dataDxfId="1"/>
    <tableColumn id="12" xr3:uid="{CD144607-B39C-4E42-8D9B-B9D8A613FF01}" uniqueName="12" name="Threshold2" queryTableFieldId="12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A2406E-95F8-6749-A7FC-8328BB88197F}" name="Quarter" displayName="Quarter" ref="A1:B45" tableType="queryTable" totalsRowShown="0">
  <autoFilter ref="A1:B45" xr:uid="{16A2406E-95F8-6749-A7FC-8328BB88197F}"/>
  <tableColumns count="2">
    <tableColumn id="1" xr3:uid="{F17B4A6B-106A-9A49-B42E-909E072104C0}" uniqueName="1" name="Year" queryTableFieldId="1"/>
    <tableColumn id="2" xr3:uid="{1C86AC85-78DF-0E4F-825C-35BC2C853222}" uniqueName="2" name="Quarter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C68F-F3DA-E446-8FE7-03CF4A442DE9}">
  <dimension ref="A1:F45"/>
  <sheetViews>
    <sheetView workbookViewId="0">
      <selection activeCell="E23" sqref="E23"/>
    </sheetView>
  </sheetViews>
  <sheetFormatPr baseColWidth="10" defaultRowHeight="16" x14ac:dyDescent="0.2"/>
  <cols>
    <col min="1" max="1" width="7.33203125" bestFit="1" customWidth="1"/>
    <col min="2" max="2" width="10" bestFit="1" customWidth="1"/>
    <col min="3" max="3" width="21.83203125" bestFit="1" customWidth="1"/>
    <col min="4" max="4" width="11.6640625" bestFit="1" customWidth="1"/>
    <col min="5" max="5" width="22.1640625" customWidth="1"/>
  </cols>
  <sheetData>
    <row r="1" spans="1:6" x14ac:dyDescent="0.2">
      <c r="A1" t="s">
        <v>0</v>
      </c>
      <c r="B1" t="s">
        <v>1</v>
      </c>
      <c r="C1" t="s">
        <v>31</v>
      </c>
      <c r="D1" t="s">
        <v>33</v>
      </c>
      <c r="E1" t="s">
        <v>95</v>
      </c>
      <c r="F1" t="s">
        <v>96</v>
      </c>
    </row>
    <row r="2" spans="1:6" x14ac:dyDescent="0.2">
      <c r="A2">
        <v>2024</v>
      </c>
      <c r="B2">
        <v>4</v>
      </c>
    </row>
    <row r="3" spans="1:6" x14ac:dyDescent="0.2">
      <c r="A3">
        <v>2024</v>
      </c>
      <c r="B3">
        <v>3</v>
      </c>
      <c r="C3" t="s">
        <v>38</v>
      </c>
      <c r="D3">
        <v>2</v>
      </c>
    </row>
    <row r="4" spans="1:6" x14ac:dyDescent="0.2">
      <c r="A4">
        <v>2024</v>
      </c>
      <c r="B4">
        <v>2</v>
      </c>
      <c r="C4" t="s">
        <v>38</v>
      </c>
      <c r="D4">
        <v>2</v>
      </c>
    </row>
    <row r="5" spans="1:6" x14ac:dyDescent="0.2">
      <c r="A5">
        <v>2024</v>
      </c>
      <c r="B5">
        <v>1</v>
      </c>
    </row>
    <row r="6" spans="1:6" x14ac:dyDescent="0.2">
      <c r="A6">
        <v>2023</v>
      </c>
      <c r="B6">
        <v>4</v>
      </c>
    </row>
    <row r="7" spans="1:6" x14ac:dyDescent="0.2">
      <c r="A7">
        <v>2023</v>
      </c>
      <c r="B7">
        <v>3</v>
      </c>
    </row>
    <row r="8" spans="1:6" x14ac:dyDescent="0.2">
      <c r="A8">
        <v>2023</v>
      </c>
      <c r="B8">
        <v>2</v>
      </c>
      <c r="C8" t="s">
        <v>35</v>
      </c>
      <c r="D8">
        <v>2</v>
      </c>
    </row>
    <row r="9" spans="1:6" x14ac:dyDescent="0.2">
      <c r="A9">
        <v>2023</v>
      </c>
      <c r="B9">
        <v>1</v>
      </c>
    </row>
    <row r="10" spans="1:6" x14ac:dyDescent="0.2">
      <c r="A10">
        <v>2022</v>
      </c>
      <c r="B10">
        <v>4</v>
      </c>
    </row>
    <row r="11" spans="1:6" x14ac:dyDescent="0.2">
      <c r="A11">
        <v>2022</v>
      </c>
      <c r="B11">
        <v>3</v>
      </c>
      <c r="C11" t="s">
        <v>53</v>
      </c>
      <c r="D11">
        <v>2</v>
      </c>
    </row>
    <row r="12" spans="1:6" x14ac:dyDescent="0.2">
      <c r="A12">
        <v>2022</v>
      </c>
      <c r="B12">
        <v>2</v>
      </c>
      <c r="C12" t="s">
        <v>53</v>
      </c>
      <c r="D12">
        <v>2</v>
      </c>
    </row>
    <row r="13" spans="1:6" x14ac:dyDescent="0.2">
      <c r="A13">
        <v>2022</v>
      </c>
      <c r="B13">
        <v>1</v>
      </c>
    </row>
    <row r="14" spans="1:6" x14ac:dyDescent="0.2">
      <c r="A14">
        <v>2021</v>
      </c>
      <c r="B14">
        <v>4</v>
      </c>
    </row>
    <row r="15" spans="1:6" x14ac:dyDescent="0.2">
      <c r="A15">
        <v>2021</v>
      </c>
      <c r="B15">
        <v>3</v>
      </c>
      <c r="C15" t="s">
        <v>53</v>
      </c>
      <c r="D15">
        <v>3</v>
      </c>
    </row>
    <row r="16" spans="1:6" x14ac:dyDescent="0.2">
      <c r="A16">
        <v>2021</v>
      </c>
      <c r="B16">
        <v>2</v>
      </c>
      <c r="C16" t="s">
        <v>53</v>
      </c>
      <c r="D16">
        <v>2</v>
      </c>
    </row>
    <row r="17" spans="1:6" x14ac:dyDescent="0.2">
      <c r="A17">
        <v>2021</v>
      </c>
      <c r="B17">
        <v>1</v>
      </c>
      <c r="C17" t="s">
        <v>53</v>
      </c>
      <c r="D17">
        <v>2</v>
      </c>
    </row>
    <row r="18" spans="1:6" x14ac:dyDescent="0.2">
      <c r="A18">
        <v>2020</v>
      </c>
      <c r="B18">
        <v>4</v>
      </c>
      <c r="C18" t="s">
        <v>38</v>
      </c>
      <c r="D18">
        <v>1</v>
      </c>
    </row>
    <row r="19" spans="1:6" x14ac:dyDescent="0.2">
      <c r="A19">
        <v>2020</v>
      </c>
      <c r="B19">
        <v>3</v>
      </c>
      <c r="C19" t="s">
        <v>35</v>
      </c>
      <c r="D19">
        <v>1</v>
      </c>
    </row>
    <row r="20" spans="1:6" x14ac:dyDescent="0.2">
      <c r="A20">
        <v>2020</v>
      </c>
      <c r="B20">
        <v>2</v>
      </c>
      <c r="C20" t="s">
        <v>35</v>
      </c>
      <c r="D20">
        <v>2</v>
      </c>
    </row>
    <row r="21" spans="1:6" x14ac:dyDescent="0.2">
      <c r="A21">
        <v>2020</v>
      </c>
      <c r="B21">
        <v>1</v>
      </c>
    </row>
    <row r="22" spans="1:6" x14ac:dyDescent="0.2">
      <c r="A22">
        <v>2019</v>
      </c>
      <c r="B22">
        <v>4</v>
      </c>
    </row>
    <row r="23" spans="1:6" x14ac:dyDescent="0.2">
      <c r="A23">
        <v>2019</v>
      </c>
      <c r="B23">
        <v>3</v>
      </c>
      <c r="C23" t="s">
        <v>38</v>
      </c>
      <c r="D23">
        <v>1</v>
      </c>
      <c r="E23" t="s">
        <v>38</v>
      </c>
      <c r="F23">
        <v>1</v>
      </c>
    </row>
    <row r="24" spans="1:6" x14ac:dyDescent="0.2">
      <c r="A24">
        <v>2019</v>
      </c>
      <c r="B24">
        <v>2</v>
      </c>
      <c r="C24" t="s">
        <v>38</v>
      </c>
      <c r="D24">
        <v>2</v>
      </c>
    </row>
    <row r="25" spans="1:6" x14ac:dyDescent="0.2">
      <c r="A25">
        <v>2019</v>
      </c>
      <c r="B25">
        <v>1</v>
      </c>
    </row>
    <row r="26" spans="1:6" x14ac:dyDescent="0.2">
      <c r="A26">
        <v>2018</v>
      </c>
      <c r="B26">
        <v>4</v>
      </c>
    </row>
    <row r="27" spans="1:6" x14ac:dyDescent="0.2">
      <c r="A27">
        <v>2018</v>
      </c>
      <c r="B27">
        <v>3</v>
      </c>
      <c r="C27" t="s">
        <v>53</v>
      </c>
      <c r="D27">
        <v>2</v>
      </c>
    </row>
    <row r="28" spans="1:6" x14ac:dyDescent="0.2">
      <c r="A28">
        <v>2018</v>
      </c>
      <c r="B28">
        <v>2</v>
      </c>
    </row>
    <row r="29" spans="1:6" x14ac:dyDescent="0.2">
      <c r="A29">
        <v>2018</v>
      </c>
      <c r="B29">
        <v>1</v>
      </c>
      <c r="C29" t="s">
        <v>35</v>
      </c>
      <c r="D29">
        <v>2</v>
      </c>
    </row>
    <row r="30" spans="1:6" x14ac:dyDescent="0.2">
      <c r="A30">
        <v>2017</v>
      </c>
      <c r="B30">
        <v>4</v>
      </c>
    </row>
    <row r="31" spans="1:6" x14ac:dyDescent="0.2">
      <c r="A31">
        <v>2017</v>
      </c>
      <c r="B31">
        <v>3</v>
      </c>
    </row>
    <row r="32" spans="1:6" x14ac:dyDescent="0.2">
      <c r="A32">
        <v>2017</v>
      </c>
      <c r="B32">
        <v>2</v>
      </c>
    </row>
    <row r="33" spans="1:6" x14ac:dyDescent="0.2">
      <c r="A33">
        <v>2017</v>
      </c>
      <c r="B33">
        <v>1</v>
      </c>
    </row>
    <row r="34" spans="1:6" x14ac:dyDescent="0.2">
      <c r="A34">
        <v>2016</v>
      </c>
      <c r="B34">
        <v>4</v>
      </c>
      <c r="C34" t="s">
        <v>38</v>
      </c>
      <c r="D34">
        <v>1</v>
      </c>
    </row>
    <row r="35" spans="1:6" x14ac:dyDescent="0.2">
      <c r="A35">
        <v>2016</v>
      </c>
      <c r="B35">
        <v>3</v>
      </c>
    </row>
    <row r="36" spans="1:6" x14ac:dyDescent="0.2">
      <c r="A36">
        <v>2016</v>
      </c>
      <c r="B36">
        <v>2</v>
      </c>
      <c r="C36" t="s">
        <v>38</v>
      </c>
      <c r="D36">
        <v>2</v>
      </c>
    </row>
    <row r="37" spans="1:6" x14ac:dyDescent="0.2">
      <c r="A37">
        <v>2016</v>
      </c>
      <c r="B37">
        <v>1</v>
      </c>
      <c r="C37" t="s">
        <v>38</v>
      </c>
      <c r="D37">
        <v>2</v>
      </c>
    </row>
    <row r="38" spans="1:6" x14ac:dyDescent="0.2">
      <c r="A38">
        <v>2015</v>
      </c>
      <c r="B38">
        <v>4</v>
      </c>
      <c r="C38" t="s">
        <v>38</v>
      </c>
      <c r="D38">
        <v>2</v>
      </c>
    </row>
    <row r="39" spans="1:6" x14ac:dyDescent="0.2">
      <c r="A39">
        <v>2015</v>
      </c>
      <c r="B39">
        <v>3</v>
      </c>
    </row>
    <row r="40" spans="1:6" x14ac:dyDescent="0.2">
      <c r="A40">
        <v>2015</v>
      </c>
      <c r="B40">
        <v>2</v>
      </c>
      <c r="C40" t="s">
        <v>35</v>
      </c>
      <c r="D40">
        <v>2</v>
      </c>
    </row>
    <row r="41" spans="1:6" x14ac:dyDescent="0.2">
      <c r="A41">
        <v>2015</v>
      </c>
      <c r="B41">
        <v>1</v>
      </c>
    </row>
    <row r="42" spans="1:6" x14ac:dyDescent="0.2">
      <c r="A42">
        <v>2014</v>
      </c>
      <c r="B42">
        <v>4</v>
      </c>
      <c r="C42" t="s">
        <v>35</v>
      </c>
      <c r="D42">
        <v>2</v>
      </c>
      <c r="E42" t="s">
        <v>38</v>
      </c>
      <c r="F42">
        <v>1</v>
      </c>
    </row>
    <row r="43" spans="1:6" x14ac:dyDescent="0.2">
      <c r="A43">
        <v>2014</v>
      </c>
      <c r="B43">
        <v>3</v>
      </c>
    </row>
    <row r="44" spans="1:6" x14ac:dyDescent="0.2">
      <c r="A44">
        <v>2014</v>
      </c>
      <c r="B44">
        <v>2</v>
      </c>
    </row>
    <row r="45" spans="1:6" x14ac:dyDescent="0.2">
      <c r="A45">
        <v>2014</v>
      </c>
      <c r="B45"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C319-9F17-F249-A745-3D47A0DAB667}">
  <dimension ref="A1:G24"/>
  <sheetViews>
    <sheetView topLeftCell="D1" workbookViewId="0">
      <selection activeCell="D20" sqref="D20"/>
    </sheetView>
  </sheetViews>
  <sheetFormatPr baseColWidth="10" defaultRowHeight="16" x14ac:dyDescent="0.2"/>
  <cols>
    <col min="1" max="1" width="7.33203125" bestFit="1" customWidth="1"/>
    <col min="2" max="2" width="10" bestFit="1" customWidth="1"/>
    <col min="3" max="3" width="8.83203125" bestFit="1" customWidth="1"/>
    <col min="4" max="4" width="80.33203125" bestFit="1" customWidth="1"/>
    <col min="5" max="5" width="21.83203125" bestFit="1" customWidth="1"/>
    <col min="6" max="6" width="80.6640625" bestFit="1" customWidth="1"/>
    <col min="7" max="7" width="11.6640625" bestFit="1" customWidth="1"/>
  </cols>
  <sheetData>
    <row r="1" spans="1:7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">
      <c r="A2">
        <v>2014</v>
      </c>
      <c r="B2">
        <v>4</v>
      </c>
      <c r="D2" t="s">
        <v>34</v>
      </c>
      <c r="E2" t="s">
        <v>35</v>
      </c>
      <c r="F2" t="s">
        <v>36</v>
      </c>
      <c r="G2">
        <v>2</v>
      </c>
    </row>
    <row r="3" spans="1:7" x14ac:dyDescent="0.2">
      <c r="A3">
        <v>2014</v>
      </c>
      <c r="B3">
        <v>4</v>
      </c>
      <c r="D3" t="s">
        <v>37</v>
      </c>
      <c r="E3" t="s">
        <v>38</v>
      </c>
      <c r="F3" t="s">
        <v>39</v>
      </c>
      <c r="G3">
        <v>1</v>
      </c>
    </row>
    <row r="4" spans="1:7" x14ac:dyDescent="0.2">
      <c r="A4">
        <v>2015</v>
      </c>
      <c r="B4">
        <v>2</v>
      </c>
      <c r="D4" t="s">
        <v>40</v>
      </c>
      <c r="E4" t="s">
        <v>35</v>
      </c>
      <c r="F4" t="s">
        <v>41</v>
      </c>
      <c r="G4">
        <v>2</v>
      </c>
    </row>
    <row r="5" spans="1:7" x14ac:dyDescent="0.2">
      <c r="A5">
        <v>2015</v>
      </c>
      <c r="B5">
        <v>4</v>
      </c>
      <c r="D5" t="s">
        <v>42</v>
      </c>
      <c r="E5" t="s">
        <v>38</v>
      </c>
      <c r="F5" t="s">
        <v>43</v>
      </c>
      <c r="G5">
        <v>2</v>
      </c>
    </row>
    <row r="6" spans="1:7" x14ac:dyDescent="0.2">
      <c r="A6">
        <v>2016</v>
      </c>
      <c r="B6">
        <v>1</v>
      </c>
      <c r="D6" t="s">
        <v>44</v>
      </c>
      <c r="E6" t="s">
        <v>38</v>
      </c>
      <c r="F6" t="s">
        <v>45</v>
      </c>
      <c r="G6">
        <v>2</v>
      </c>
    </row>
    <row r="7" spans="1:7" x14ac:dyDescent="0.2">
      <c r="A7">
        <v>2016</v>
      </c>
      <c r="B7">
        <v>2</v>
      </c>
      <c r="D7" t="s">
        <v>46</v>
      </c>
      <c r="E7" t="s">
        <v>38</v>
      </c>
      <c r="F7" t="s">
        <v>47</v>
      </c>
      <c r="G7">
        <v>2</v>
      </c>
    </row>
    <row r="8" spans="1:7" x14ac:dyDescent="0.2">
      <c r="A8">
        <v>2016</v>
      </c>
      <c r="B8">
        <v>4</v>
      </c>
      <c r="D8" t="s">
        <v>48</v>
      </c>
      <c r="E8" t="s">
        <v>38</v>
      </c>
      <c r="F8" t="s">
        <v>49</v>
      </c>
      <c r="G8">
        <v>1</v>
      </c>
    </row>
    <row r="9" spans="1:7" x14ac:dyDescent="0.2">
      <c r="A9">
        <v>2018</v>
      </c>
      <c r="B9">
        <v>1</v>
      </c>
      <c r="D9" t="s">
        <v>50</v>
      </c>
      <c r="E9" t="s">
        <v>35</v>
      </c>
      <c r="F9" t="s">
        <v>51</v>
      </c>
      <c r="G9">
        <v>2</v>
      </c>
    </row>
    <row r="10" spans="1:7" x14ac:dyDescent="0.2">
      <c r="A10">
        <v>2018</v>
      </c>
      <c r="B10">
        <v>3</v>
      </c>
      <c r="D10" t="s">
        <v>52</v>
      </c>
      <c r="E10" t="s">
        <v>53</v>
      </c>
      <c r="F10" t="s">
        <v>54</v>
      </c>
      <c r="G10">
        <v>2</v>
      </c>
    </row>
    <row r="11" spans="1:7" x14ac:dyDescent="0.2">
      <c r="A11">
        <v>2019</v>
      </c>
      <c r="B11">
        <v>2</v>
      </c>
      <c r="D11" t="s">
        <v>55</v>
      </c>
      <c r="E11" t="s">
        <v>38</v>
      </c>
      <c r="F11" t="s">
        <v>56</v>
      </c>
      <c r="G11">
        <v>2</v>
      </c>
    </row>
    <row r="12" spans="1:7" x14ac:dyDescent="0.2">
      <c r="A12">
        <v>2019</v>
      </c>
      <c r="B12">
        <v>3</v>
      </c>
      <c r="D12" t="s">
        <v>55</v>
      </c>
      <c r="E12" t="s">
        <v>38</v>
      </c>
      <c r="F12" t="s">
        <v>56</v>
      </c>
      <c r="G12">
        <v>1</v>
      </c>
    </row>
    <row r="13" spans="1:7" x14ac:dyDescent="0.2">
      <c r="A13">
        <v>2019</v>
      </c>
      <c r="B13">
        <v>3</v>
      </c>
      <c r="C13">
        <v>8</v>
      </c>
      <c r="D13" t="s">
        <v>57</v>
      </c>
      <c r="E13" t="s">
        <v>38</v>
      </c>
      <c r="F13" t="s">
        <v>58</v>
      </c>
      <c r="G13">
        <v>1</v>
      </c>
    </row>
    <row r="14" spans="1:7" x14ac:dyDescent="0.2">
      <c r="A14">
        <v>2020</v>
      </c>
      <c r="B14">
        <v>2</v>
      </c>
      <c r="D14" t="s">
        <v>59</v>
      </c>
      <c r="E14" t="s">
        <v>35</v>
      </c>
      <c r="F14" t="s">
        <v>60</v>
      </c>
      <c r="G14">
        <v>2</v>
      </c>
    </row>
    <row r="15" spans="1:7" x14ac:dyDescent="0.2">
      <c r="A15">
        <v>2020</v>
      </c>
      <c r="B15">
        <v>3</v>
      </c>
      <c r="D15" t="s">
        <v>61</v>
      </c>
      <c r="E15" t="s">
        <v>35</v>
      </c>
      <c r="F15" t="s">
        <v>62</v>
      </c>
      <c r="G15">
        <v>1</v>
      </c>
    </row>
    <row r="16" spans="1:7" x14ac:dyDescent="0.2">
      <c r="A16">
        <v>2020</v>
      </c>
      <c r="B16">
        <v>4</v>
      </c>
      <c r="D16" t="s">
        <v>63</v>
      </c>
      <c r="E16" t="s">
        <v>38</v>
      </c>
      <c r="F16" t="s">
        <v>64</v>
      </c>
      <c r="G16">
        <v>1</v>
      </c>
    </row>
    <row r="17" spans="1:7" x14ac:dyDescent="0.2">
      <c r="A17">
        <v>2021</v>
      </c>
      <c r="B17">
        <v>1</v>
      </c>
      <c r="D17" t="s">
        <v>65</v>
      </c>
      <c r="E17" t="s">
        <v>53</v>
      </c>
      <c r="F17" t="s">
        <v>66</v>
      </c>
      <c r="G17">
        <v>2</v>
      </c>
    </row>
    <row r="18" spans="1:7" x14ac:dyDescent="0.2">
      <c r="A18">
        <v>2021</v>
      </c>
      <c r="B18">
        <v>2</v>
      </c>
      <c r="D18" t="s">
        <v>67</v>
      </c>
      <c r="E18" t="s">
        <v>53</v>
      </c>
      <c r="F18" t="s">
        <v>68</v>
      </c>
      <c r="G18">
        <v>2</v>
      </c>
    </row>
    <row r="19" spans="1:7" x14ac:dyDescent="0.2">
      <c r="A19">
        <v>2021</v>
      </c>
      <c r="B19">
        <v>3</v>
      </c>
      <c r="D19" t="s">
        <v>69</v>
      </c>
      <c r="E19" t="s">
        <v>53</v>
      </c>
      <c r="F19" t="s">
        <v>70</v>
      </c>
      <c r="G19">
        <v>3</v>
      </c>
    </row>
    <row r="20" spans="1:7" x14ac:dyDescent="0.2">
      <c r="A20">
        <v>2022</v>
      </c>
      <c r="B20">
        <v>2</v>
      </c>
      <c r="D20" t="s">
        <v>71</v>
      </c>
      <c r="E20" t="s">
        <v>53</v>
      </c>
      <c r="F20" t="s">
        <v>72</v>
      </c>
      <c r="G20">
        <v>2</v>
      </c>
    </row>
    <row r="21" spans="1:7" x14ac:dyDescent="0.2">
      <c r="A21">
        <v>2022</v>
      </c>
      <c r="B21">
        <v>3</v>
      </c>
      <c r="D21" t="s">
        <v>71</v>
      </c>
      <c r="E21" t="s">
        <v>53</v>
      </c>
      <c r="F21" t="s">
        <v>72</v>
      </c>
      <c r="G21">
        <v>2</v>
      </c>
    </row>
    <row r="22" spans="1:7" x14ac:dyDescent="0.2">
      <c r="A22">
        <v>2023</v>
      </c>
      <c r="B22">
        <v>2</v>
      </c>
      <c r="D22" t="s">
        <v>73</v>
      </c>
      <c r="E22" t="s">
        <v>35</v>
      </c>
      <c r="F22" t="s">
        <v>74</v>
      </c>
      <c r="G22">
        <v>2</v>
      </c>
    </row>
    <row r="23" spans="1:7" x14ac:dyDescent="0.2">
      <c r="A23">
        <v>2024</v>
      </c>
      <c r="B23">
        <v>2</v>
      </c>
      <c r="D23" t="s">
        <v>75</v>
      </c>
      <c r="E23" t="s">
        <v>38</v>
      </c>
      <c r="F23" t="s">
        <v>76</v>
      </c>
      <c r="G23">
        <v>2</v>
      </c>
    </row>
    <row r="24" spans="1:7" x14ac:dyDescent="0.2">
      <c r="A24">
        <v>2024</v>
      </c>
      <c r="B24">
        <v>3</v>
      </c>
      <c r="D24" t="s">
        <v>77</v>
      </c>
      <c r="E24" t="s">
        <v>38</v>
      </c>
      <c r="F24" t="s">
        <v>78</v>
      </c>
      <c r="G24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700C-A327-644B-9437-25CA41430775}">
  <dimension ref="A1:H45"/>
  <sheetViews>
    <sheetView workbookViewId="0">
      <selection activeCell="F2" sqref="F2"/>
    </sheetView>
  </sheetViews>
  <sheetFormatPr baseColWidth="10" defaultRowHeight="16" x14ac:dyDescent="0.2"/>
  <cols>
    <col min="1" max="1" width="7.33203125" bestFit="1" customWidth="1"/>
    <col min="2" max="2" width="10" bestFit="1" customWidth="1"/>
    <col min="3" max="3" width="21.1640625" bestFit="1" customWidth="1"/>
    <col min="4" max="4" width="23.6640625" bestFit="1" customWidth="1"/>
    <col min="5" max="5" width="25" bestFit="1" customWidth="1"/>
    <col min="6" max="6" width="25.1640625" bestFit="1" customWidth="1"/>
    <col min="7" max="7" width="22.6640625" bestFit="1" customWidth="1"/>
    <col min="8" max="8" width="19.83203125" bestFit="1" customWidth="1"/>
  </cols>
  <sheetData>
    <row r="1" spans="1:8" x14ac:dyDescent="0.2">
      <c r="A1" t="s">
        <v>0</v>
      </c>
      <c r="B1" t="s">
        <v>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2">
      <c r="A2">
        <v>2024</v>
      </c>
      <c r="B2">
        <v>4</v>
      </c>
      <c r="C2" s="3">
        <v>103.42</v>
      </c>
      <c r="D2" s="3">
        <v>-11.01923105612709</v>
      </c>
      <c r="E2" s="3">
        <v>7.01</v>
      </c>
      <c r="F2">
        <v>0</v>
      </c>
      <c r="G2">
        <v>4</v>
      </c>
      <c r="H2">
        <v>0</v>
      </c>
    </row>
    <row r="3" spans="1:8" x14ac:dyDescent="0.2">
      <c r="A3">
        <v>2024</v>
      </c>
      <c r="B3">
        <v>3</v>
      </c>
      <c r="C3" s="3">
        <v>103.30333333333333</v>
      </c>
      <c r="D3" s="3">
        <v>-6.2508674375717295</v>
      </c>
      <c r="E3" s="3">
        <v>6.71</v>
      </c>
      <c r="F3">
        <v>0</v>
      </c>
      <c r="G3">
        <v>6</v>
      </c>
      <c r="H3">
        <v>2</v>
      </c>
    </row>
    <row r="4" spans="1:8" x14ac:dyDescent="0.2">
      <c r="A4">
        <v>2024</v>
      </c>
      <c r="B4">
        <v>2</v>
      </c>
      <c r="C4" s="3">
        <v>103.51333333333334</v>
      </c>
      <c r="D4" s="3">
        <v>6.4056729297683725</v>
      </c>
      <c r="E4" s="3">
        <v>6.8</v>
      </c>
      <c r="F4">
        <v>0</v>
      </c>
      <c r="G4">
        <v>6</v>
      </c>
      <c r="H4">
        <v>0</v>
      </c>
    </row>
    <row r="5" spans="1:8" x14ac:dyDescent="0.2">
      <c r="A5">
        <v>2024</v>
      </c>
      <c r="B5">
        <v>1</v>
      </c>
      <c r="C5" s="3">
        <v>103.09666666666666</v>
      </c>
      <c r="D5" s="3">
        <v>-2.3008258054766806</v>
      </c>
      <c r="E5" s="3">
        <v>5.41</v>
      </c>
      <c r="F5">
        <v>3</v>
      </c>
      <c r="G5">
        <v>3</v>
      </c>
      <c r="H5">
        <v>0</v>
      </c>
    </row>
    <row r="6" spans="1:8" x14ac:dyDescent="0.2">
      <c r="A6">
        <v>2023</v>
      </c>
      <c r="B6">
        <v>4</v>
      </c>
      <c r="C6" s="3">
        <v>102.44</v>
      </c>
      <c r="D6" s="3">
        <v>-9.8829792723652723</v>
      </c>
      <c r="E6" s="3">
        <v>7</v>
      </c>
      <c r="F6">
        <v>2</v>
      </c>
      <c r="G6">
        <v>1</v>
      </c>
      <c r="H6">
        <v>0</v>
      </c>
    </row>
    <row r="7" spans="1:8" x14ac:dyDescent="0.2">
      <c r="A7">
        <v>2023</v>
      </c>
      <c r="B7">
        <v>3</v>
      </c>
      <c r="C7" s="3">
        <v>101.77</v>
      </c>
      <c r="D7" s="3">
        <v>-16.998761386671838</v>
      </c>
      <c r="E7" s="3">
        <v>6.22</v>
      </c>
      <c r="F7">
        <v>0</v>
      </c>
      <c r="G7">
        <v>2</v>
      </c>
      <c r="H7">
        <v>0</v>
      </c>
    </row>
    <row r="8" spans="1:8" x14ac:dyDescent="0.2">
      <c r="A8">
        <v>2023</v>
      </c>
      <c r="B8">
        <v>2</v>
      </c>
      <c r="C8" s="3">
        <v>103.74</v>
      </c>
      <c r="D8" s="3">
        <v>-27.0054601755809</v>
      </c>
      <c r="E8" s="3">
        <v>5.91</v>
      </c>
      <c r="F8">
        <v>0</v>
      </c>
      <c r="G8">
        <v>4</v>
      </c>
      <c r="H8">
        <v>0</v>
      </c>
    </row>
    <row r="9" spans="1:8" x14ac:dyDescent="0.2">
      <c r="A9">
        <v>2023</v>
      </c>
      <c r="B9">
        <v>1</v>
      </c>
      <c r="C9" s="3">
        <v>104.58666666666667</v>
      </c>
      <c r="D9" s="3">
        <v>-0.32951923526558957</v>
      </c>
      <c r="E9" s="3">
        <v>5.81</v>
      </c>
      <c r="F9">
        <v>2</v>
      </c>
      <c r="G9">
        <v>1</v>
      </c>
      <c r="H9">
        <v>0</v>
      </c>
    </row>
    <row r="10" spans="1:8" x14ac:dyDescent="0.2">
      <c r="A10">
        <v>2022</v>
      </c>
      <c r="B10">
        <v>4</v>
      </c>
      <c r="C10" s="3">
        <v>105.64</v>
      </c>
      <c r="D10" s="3">
        <v>41.420381166505592</v>
      </c>
      <c r="E10" s="3">
        <v>6.76</v>
      </c>
      <c r="F10">
        <v>2</v>
      </c>
      <c r="G10">
        <v>3</v>
      </c>
      <c r="H10">
        <v>0</v>
      </c>
    </row>
    <row r="11" spans="1:8" x14ac:dyDescent="0.2">
      <c r="A11">
        <v>2022</v>
      </c>
      <c r="B11">
        <v>3</v>
      </c>
      <c r="C11" s="3">
        <v>104.82333333333334</v>
      </c>
      <c r="D11" s="3">
        <v>57.565267092615883</v>
      </c>
      <c r="E11" s="3">
        <v>15.3</v>
      </c>
      <c r="F11">
        <v>0</v>
      </c>
      <c r="G11">
        <v>4</v>
      </c>
      <c r="H11">
        <v>0</v>
      </c>
    </row>
    <row r="12" spans="1:8" x14ac:dyDescent="0.2">
      <c r="A12">
        <v>2022</v>
      </c>
      <c r="B12">
        <v>2</v>
      </c>
      <c r="C12" s="3">
        <v>102.75333333333333</v>
      </c>
      <c r="D12" s="3">
        <v>79.816475690873176</v>
      </c>
      <c r="E12" s="3">
        <v>8.2200000000000006</v>
      </c>
      <c r="F12">
        <v>0</v>
      </c>
      <c r="G12">
        <v>6</v>
      </c>
      <c r="H12">
        <v>0</v>
      </c>
    </row>
    <row r="13" spans="1:8" x14ac:dyDescent="0.2">
      <c r="A13">
        <v>2022</v>
      </c>
      <c r="B13">
        <v>1</v>
      </c>
      <c r="C13" s="3">
        <v>101.5</v>
      </c>
      <c r="D13" s="3">
        <v>60.897583193070673</v>
      </c>
      <c r="E13" s="3">
        <v>5.91</v>
      </c>
      <c r="F13">
        <v>2</v>
      </c>
      <c r="G13">
        <v>4</v>
      </c>
      <c r="H13">
        <v>0</v>
      </c>
    </row>
    <row r="14" spans="1:8" x14ac:dyDescent="0.2">
      <c r="A14">
        <v>2021</v>
      </c>
      <c r="B14">
        <v>4</v>
      </c>
      <c r="C14" s="3">
        <v>100.88666666666667</v>
      </c>
      <c r="D14" s="3">
        <v>45.739859600562895</v>
      </c>
      <c r="E14" s="3">
        <v>6.69</v>
      </c>
      <c r="F14">
        <v>0</v>
      </c>
      <c r="G14">
        <v>3</v>
      </c>
      <c r="H14">
        <v>0</v>
      </c>
    </row>
    <row r="15" spans="1:8" x14ac:dyDescent="0.2">
      <c r="A15">
        <v>2021</v>
      </c>
      <c r="B15">
        <v>3</v>
      </c>
      <c r="C15" s="3">
        <v>100.29666666666667</v>
      </c>
      <c r="D15" s="3">
        <v>32.925053811506523</v>
      </c>
      <c r="E15" s="3">
        <v>-6.89</v>
      </c>
      <c r="F15">
        <v>1</v>
      </c>
      <c r="G15">
        <v>6</v>
      </c>
      <c r="H15">
        <v>0</v>
      </c>
    </row>
    <row r="16" spans="1:8" x14ac:dyDescent="0.2">
      <c r="A16">
        <v>2021</v>
      </c>
      <c r="B16">
        <v>2</v>
      </c>
      <c r="C16" s="3">
        <v>98.846666666666664</v>
      </c>
      <c r="D16" s="3">
        <v>37.296872177905236</v>
      </c>
      <c r="E16" s="3">
        <v>5.63</v>
      </c>
      <c r="F16">
        <v>0</v>
      </c>
      <c r="G16">
        <v>3</v>
      </c>
      <c r="H16">
        <v>0</v>
      </c>
    </row>
    <row r="17" spans="1:8" x14ac:dyDescent="0.2">
      <c r="A17">
        <v>2021</v>
      </c>
      <c r="B17">
        <v>1</v>
      </c>
      <c r="C17" s="3">
        <v>100.61333333333333</v>
      </c>
      <c r="D17" s="3">
        <v>-12.712543262187312</v>
      </c>
      <c r="E17" s="3">
        <v>6.43</v>
      </c>
      <c r="F17">
        <v>4</v>
      </c>
      <c r="G17">
        <v>2</v>
      </c>
      <c r="H17">
        <v>0</v>
      </c>
    </row>
    <row r="18" spans="1:8" x14ac:dyDescent="0.2">
      <c r="A18">
        <v>2020</v>
      </c>
      <c r="B18">
        <v>4</v>
      </c>
      <c r="C18" s="3">
        <v>104.94666666666667</v>
      </c>
      <c r="D18" s="3">
        <v>-29.078317344563342</v>
      </c>
      <c r="E18" s="3">
        <v>5.77</v>
      </c>
      <c r="F18">
        <v>0</v>
      </c>
      <c r="G18">
        <v>3</v>
      </c>
      <c r="H18">
        <v>0</v>
      </c>
    </row>
    <row r="19" spans="1:8" x14ac:dyDescent="0.2">
      <c r="A19">
        <v>2020</v>
      </c>
      <c r="B19">
        <v>3</v>
      </c>
      <c r="C19" s="3">
        <v>110.53</v>
      </c>
      <c r="D19" s="3">
        <v>-27.151908003983877</v>
      </c>
      <c r="E19" s="3">
        <v>3.95</v>
      </c>
      <c r="F19">
        <v>0</v>
      </c>
      <c r="G19">
        <v>2</v>
      </c>
      <c r="H19">
        <v>0</v>
      </c>
    </row>
    <row r="20" spans="1:8" x14ac:dyDescent="0.2">
      <c r="A20">
        <v>2020</v>
      </c>
      <c r="B20">
        <v>2</v>
      </c>
      <c r="C20" s="3">
        <v>111.93</v>
      </c>
      <c r="D20" s="3">
        <v>-37.792575565555232</v>
      </c>
      <c r="E20" s="3">
        <v>1.76</v>
      </c>
      <c r="F20">
        <v>1</v>
      </c>
      <c r="G20">
        <v>3</v>
      </c>
      <c r="H20">
        <v>0</v>
      </c>
    </row>
    <row r="21" spans="1:8" x14ac:dyDescent="0.2">
      <c r="A21">
        <v>2020</v>
      </c>
      <c r="B21">
        <v>1</v>
      </c>
      <c r="C21" s="3">
        <v>110.35333333333334</v>
      </c>
      <c r="D21" s="3">
        <v>-1.9473534795356535</v>
      </c>
      <c r="E21" s="3">
        <v>4.13</v>
      </c>
      <c r="F21">
        <v>0</v>
      </c>
      <c r="G21">
        <v>5</v>
      </c>
      <c r="H21">
        <v>0</v>
      </c>
    </row>
    <row r="22" spans="1:8" x14ac:dyDescent="0.2">
      <c r="A22">
        <v>2019</v>
      </c>
      <c r="B22">
        <v>4</v>
      </c>
      <c r="C22" s="3">
        <v>106.53333333333333</v>
      </c>
      <c r="D22" s="3">
        <v>-9.9196100341382802</v>
      </c>
      <c r="E22" s="3">
        <v>8.3000000000000007</v>
      </c>
      <c r="F22">
        <v>0</v>
      </c>
      <c r="G22">
        <v>2</v>
      </c>
      <c r="H22">
        <v>0</v>
      </c>
    </row>
    <row r="23" spans="1:8" x14ac:dyDescent="0.2">
      <c r="A23">
        <v>2019</v>
      </c>
      <c r="B23">
        <v>3</v>
      </c>
      <c r="C23" s="3">
        <v>102.7</v>
      </c>
      <c r="D23" s="3">
        <v>-5.0824596940644735</v>
      </c>
      <c r="E23" s="3">
        <v>7.85</v>
      </c>
      <c r="F23">
        <v>0</v>
      </c>
      <c r="G23">
        <v>4</v>
      </c>
      <c r="H23">
        <v>0</v>
      </c>
    </row>
    <row r="24" spans="1:8" x14ac:dyDescent="0.2">
      <c r="A24">
        <v>2019</v>
      </c>
      <c r="B24">
        <v>2</v>
      </c>
      <c r="C24" s="3">
        <v>104.4</v>
      </c>
      <c r="D24" s="3">
        <v>2.3771999950683043</v>
      </c>
      <c r="E24" s="3">
        <v>7.27</v>
      </c>
      <c r="F24">
        <v>0</v>
      </c>
      <c r="G24">
        <v>4</v>
      </c>
      <c r="H24">
        <v>0</v>
      </c>
    </row>
    <row r="25" spans="1:8" x14ac:dyDescent="0.2">
      <c r="A25">
        <v>2019</v>
      </c>
      <c r="B25">
        <v>1</v>
      </c>
      <c r="C25" s="3">
        <v>106.13333333333334</v>
      </c>
      <c r="D25" s="3">
        <v>-0.8935024222074528</v>
      </c>
      <c r="E25" s="3">
        <v>6.95</v>
      </c>
      <c r="F25">
        <v>0</v>
      </c>
      <c r="G25">
        <v>5</v>
      </c>
      <c r="H25">
        <v>1</v>
      </c>
    </row>
    <row r="26" spans="1:8" x14ac:dyDescent="0.2">
      <c r="A26">
        <v>2018</v>
      </c>
      <c r="B26">
        <v>4</v>
      </c>
      <c r="C26" s="3">
        <v>106.13333333333333</v>
      </c>
      <c r="D26" s="3">
        <v>21.751492693943064</v>
      </c>
      <c r="E26" s="3">
        <v>8.02</v>
      </c>
      <c r="F26">
        <v>2</v>
      </c>
      <c r="G26">
        <v>6</v>
      </c>
      <c r="H26">
        <v>0</v>
      </c>
    </row>
    <row r="27" spans="1:8" x14ac:dyDescent="0.2">
      <c r="A27">
        <v>2018</v>
      </c>
      <c r="B27">
        <v>3</v>
      </c>
      <c r="C27" s="3">
        <v>106</v>
      </c>
      <c r="D27" s="3">
        <v>31.042806726259538</v>
      </c>
      <c r="E27" s="3">
        <v>7.3</v>
      </c>
      <c r="F27">
        <v>1</v>
      </c>
      <c r="G27">
        <v>6</v>
      </c>
      <c r="H27">
        <v>0</v>
      </c>
    </row>
    <row r="28" spans="1:8" x14ac:dyDescent="0.2">
      <c r="A28">
        <v>2018</v>
      </c>
      <c r="B28">
        <v>2</v>
      </c>
      <c r="C28" s="3">
        <v>103.66666666666667</v>
      </c>
      <c r="D28" s="3">
        <v>20.428392789122569</v>
      </c>
      <c r="E28" s="3">
        <v>7.16</v>
      </c>
      <c r="F28">
        <v>0</v>
      </c>
      <c r="G28">
        <v>3</v>
      </c>
      <c r="H28">
        <v>0</v>
      </c>
    </row>
    <row r="29" spans="1:8" x14ac:dyDescent="0.2">
      <c r="A29">
        <v>2018</v>
      </c>
      <c r="B29">
        <v>1</v>
      </c>
      <c r="C29" s="3">
        <v>100.93333333333334</v>
      </c>
      <c r="D29" s="3">
        <v>12.671266328531376</v>
      </c>
      <c r="E29" s="3">
        <v>6.98</v>
      </c>
      <c r="F29">
        <v>2</v>
      </c>
      <c r="G29">
        <v>4</v>
      </c>
      <c r="H29">
        <v>0</v>
      </c>
    </row>
    <row r="30" spans="1:8" x14ac:dyDescent="0.2">
      <c r="A30">
        <v>2017</v>
      </c>
      <c r="B30">
        <v>4</v>
      </c>
      <c r="C30" s="3">
        <v>98.366666666666674</v>
      </c>
      <c r="D30" s="3">
        <v>15.297763364421431</v>
      </c>
      <c r="E30" s="3">
        <v>5.47</v>
      </c>
      <c r="F30">
        <v>1</v>
      </c>
      <c r="G30">
        <v>5</v>
      </c>
      <c r="H30">
        <v>0</v>
      </c>
    </row>
    <row r="31" spans="1:8" x14ac:dyDescent="0.2">
      <c r="A31">
        <v>2017</v>
      </c>
      <c r="B31">
        <v>3</v>
      </c>
      <c r="C31" s="3">
        <v>99.166666666666671</v>
      </c>
      <c r="D31" s="3">
        <v>9.9447774296440699</v>
      </c>
      <c r="E31" s="3">
        <v>8.9600000000000009</v>
      </c>
      <c r="F31">
        <v>0</v>
      </c>
      <c r="G31">
        <v>6</v>
      </c>
      <c r="H31">
        <v>0</v>
      </c>
    </row>
    <row r="32" spans="1:8" x14ac:dyDescent="0.2">
      <c r="A32">
        <v>2017</v>
      </c>
      <c r="B32">
        <v>2</v>
      </c>
      <c r="C32" s="3">
        <v>98.166666666666671</v>
      </c>
      <c r="D32" s="3">
        <v>21.056761554043558</v>
      </c>
      <c r="E32" s="3">
        <v>7.68</v>
      </c>
      <c r="F32">
        <v>1</v>
      </c>
      <c r="G32">
        <v>4</v>
      </c>
      <c r="H32">
        <v>0</v>
      </c>
    </row>
    <row r="33" spans="1:8" x14ac:dyDescent="0.2">
      <c r="A33">
        <v>2017</v>
      </c>
      <c r="B33">
        <v>1</v>
      </c>
      <c r="C33" s="3">
        <v>100.76666666666667</v>
      </c>
      <c r="D33" s="3">
        <v>34.789772919713997</v>
      </c>
      <c r="E33" s="3">
        <v>7.06</v>
      </c>
      <c r="F33">
        <v>2</v>
      </c>
      <c r="G33">
        <v>3</v>
      </c>
      <c r="H33">
        <v>0</v>
      </c>
    </row>
    <row r="34" spans="1:8" x14ac:dyDescent="0.2">
      <c r="A34">
        <v>2016</v>
      </c>
      <c r="B34">
        <v>4</v>
      </c>
      <c r="C34" s="3">
        <v>103.26666666666667</v>
      </c>
      <c r="D34" s="3">
        <v>-7.4745695761897615</v>
      </c>
      <c r="E34" s="3">
        <v>9.4499999999999993</v>
      </c>
      <c r="F34">
        <v>0</v>
      </c>
      <c r="G34">
        <v>0</v>
      </c>
      <c r="H34">
        <v>0</v>
      </c>
    </row>
    <row r="35" spans="1:8" x14ac:dyDescent="0.2">
      <c r="A35">
        <v>2016</v>
      </c>
      <c r="B35">
        <v>3</v>
      </c>
      <c r="C35" s="3">
        <v>102.86666666666666</v>
      </c>
      <c r="D35" s="3">
        <v>-15.59631919894502</v>
      </c>
      <c r="E35" s="3">
        <v>8.59</v>
      </c>
      <c r="F35">
        <v>3</v>
      </c>
      <c r="G35">
        <v>4</v>
      </c>
      <c r="H35">
        <v>2</v>
      </c>
    </row>
    <row r="36" spans="1:8" x14ac:dyDescent="0.2">
      <c r="A36">
        <v>2016</v>
      </c>
      <c r="B36">
        <v>2</v>
      </c>
      <c r="C36" s="3">
        <v>103</v>
      </c>
      <c r="D36" s="3">
        <v>-23.445171217687466</v>
      </c>
      <c r="E36" s="3">
        <v>7.74</v>
      </c>
      <c r="F36">
        <v>0</v>
      </c>
      <c r="G36">
        <v>1</v>
      </c>
      <c r="H36">
        <v>0</v>
      </c>
    </row>
    <row r="37" spans="1:8" x14ac:dyDescent="0.2">
      <c r="A37">
        <v>2016</v>
      </c>
      <c r="B37">
        <v>1</v>
      </c>
      <c r="C37" s="3">
        <v>101.76666666666667</v>
      </c>
      <c r="D37" s="3">
        <v>-31.18013549840347</v>
      </c>
      <c r="E37" s="3">
        <v>6.95</v>
      </c>
      <c r="F37">
        <v>5</v>
      </c>
      <c r="G37">
        <v>0</v>
      </c>
      <c r="H37">
        <v>0</v>
      </c>
    </row>
    <row r="38" spans="1:8" x14ac:dyDescent="0.2">
      <c r="A38">
        <v>2015</v>
      </c>
      <c r="B38">
        <v>4</v>
      </c>
      <c r="C38" s="3">
        <v>100.93333333333334</v>
      </c>
      <c r="D38" s="3">
        <v>-33.34056540815515</v>
      </c>
      <c r="E38" s="3">
        <v>12.211856295358876</v>
      </c>
      <c r="F38">
        <v>0</v>
      </c>
      <c r="G38">
        <v>0</v>
      </c>
      <c r="H38">
        <v>0</v>
      </c>
    </row>
    <row r="39" spans="1:8" x14ac:dyDescent="0.2">
      <c r="A39">
        <v>2015</v>
      </c>
      <c r="B39">
        <v>3</v>
      </c>
      <c r="C39" s="3">
        <v>101.03333333333333</v>
      </c>
      <c r="D39" s="3">
        <v>-33.166847158616882</v>
      </c>
      <c r="E39" s="3">
        <v>9.2383135384902122</v>
      </c>
      <c r="F39">
        <v>0</v>
      </c>
      <c r="G39">
        <v>0</v>
      </c>
      <c r="H39">
        <v>0</v>
      </c>
    </row>
    <row r="40" spans="1:8" x14ac:dyDescent="0.2">
      <c r="A40">
        <v>2015</v>
      </c>
      <c r="B40">
        <v>2</v>
      </c>
      <c r="C40" s="3">
        <v>101.06666666666666</v>
      </c>
      <c r="D40" s="3">
        <v>-30.455115097382219</v>
      </c>
      <c r="E40" s="3">
        <v>7.9624299919452355</v>
      </c>
      <c r="F40">
        <v>0</v>
      </c>
      <c r="G40">
        <v>2</v>
      </c>
      <c r="H40">
        <v>0</v>
      </c>
    </row>
    <row r="41" spans="1:8" x14ac:dyDescent="0.2">
      <c r="A41">
        <v>2015</v>
      </c>
      <c r="B41">
        <v>1</v>
      </c>
      <c r="C41" s="3">
        <v>101.43333333333334</v>
      </c>
      <c r="D41" s="3">
        <v>-33.788079226296652</v>
      </c>
      <c r="E41" s="3">
        <v>7.5515237432947124</v>
      </c>
      <c r="F41">
        <v>1</v>
      </c>
      <c r="G41">
        <v>1</v>
      </c>
      <c r="H41">
        <v>0</v>
      </c>
    </row>
    <row r="42" spans="1:8" x14ac:dyDescent="0.2">
      <c r="A42">
        <v>2014</v>
      </c>
      <c r="B42">
        <v>4</v>
      </c>
      <c r="C42" s="3">
        <v>102.06333333333333</v>
      </c>
      <c r="D42" s="3">
        <v>-4.4042642171063902</v>
      </c>
      <c r="E42" s="3">
        <v>11.966718956660822</v>
      </c>
      <c r="F42">
        <v>3</v>
      </c>
      <c r="G42">
        <v>0</v>
      </c>
      <c r="H42">
        <v>0</v>
      </c>
    </row>
    <row r="43" spans="1:8" x14ac:dyDescent="0.2">
      <c r="A43">
        <v>2014</v>
      </c>
      <c r="B43">
        <v>3</v>
      </c>
      <c r="C43" s="3">
        <v>103.66666666666667</v>
      </c>
      <c r="D43" s="3">
        <v>-1.5345088831936411</v>
      </c>
      <c r="E43" s="3">
        <v>9.1350247885680957</v>
      </c>
      <c r="F43">
        <v>0</v>
      </c>
      <c r="G43">
        <v>1</v>
      </c>
      <c r="H43">
        <v>0</v>
      </c>
    </row>
    <row r="44" spans="1:8" x14ac:dyDescent="0.2">
      <c r="A44">
        <v>2014</v>
      </c>
      <c r="B44">
        <v>2</v>
      </c>
      <c r="C44" s="3">
        <v>104.34</v>
      </c>
      <c r="D44" s="3">
        <v>1.5152573910370464</v>
      </c>
      <c r="E44" s="3">
        <v>8.1052153983968722</v>
      </c>
      <c r="F44">
        <v>0</v>
      </c>
      <c r="G44">
        <v>0</v>
      </c>
      <c r="H44">
        <v>0</v>
      </c>
    </row>
    <row r="45" spans="1:8" x14ac:dyDescent="0.2">
      <c r="A45">
        <v>2014</v>
      </c>
      <c r="B45">
        <v>1</v>
      </c>
      <c r="C45" s="3">
        <v>103.65666666666667</v>
      </c>
      <c r="D45" s="3">
        <v>5.6913835494346667</v>
      </c>
      <c r="E45" s="3">
        <v>6.5857131090637386</v>
      </c>
      <c r="F45">
        <v>8</v>
      </c>
      <c r="G45">
        <v>0</v>
      </c>
      <c r="H4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FBCA-0054-0A41-A113-04CD8FDD428E}">
  <dimension ref="A1:X48"/>
  <sheetViews>
    <sheetView topLeftCell="Q1" workbookViewId="0">
      <selection activeCell="U16" sqref="U16"/>
    </sheetView>
  </sheetViews>
  <sheetFormatPr baseColWidth="10" defaultRowHeight="16" x14ac:dyDescent="0.2"/>
  <cols>
    <col min="1" max="1" width="7.33203125" bestFit="1" customWidth="1"/>
    <col min="2" max="2" width="10" bestFit="1" customWidth="1"/>
    <col min="3" max="3" width="27.83203125" bestFit="1" customWidth="1"/>
    <col min="4" max="4" width="27.83203125" customWidth="1"/>
    <col min="5" max="5" width="24.5" bestFit="1" customWidth="1"/>
    <col min="6" max="6" width="24.5" customWidth="1"/>
    <col min="7" max="7" width="22.83203125" bestFit="1" customWidth="1"/>
    <col min="8" max="8" width="22" bestFit="1" customWidth="1"/>
    <col min="9" max="9" width="24.33203125" bestFit="1" customWidth="1"/>
    <col min="10" max="10" width="24.33203125" customWidth="1"/>
    <col min="11" max="11" width="40" bestFit="1" customWidth="1"/>
    <col min="12" max="12" width="27.6640625" bestFit="1" customWidth="1"/>
    <col min="13" max="13" width="6.6640625" bestFit="1" customWidth="1"/>
    <col min="14" max="14" width="26.1640625" bestFit="1" customWidth="1"/>
    <col min="15" max="15" width="24.6640625" bestFit="1" customWidth="1"/>
    <col min="16" max="16" width="25.1640625" bestFit="1" customWidth="1"/>
    <col min="17" max="17" width="24.5" bestFit="1" customWidth="1"/>
    <col min="18" max="18" width="16.83203125" bestFit="1" customWidth="1"/>
    <col min="19" max="19" width="17.33203125" bestFit="1" customWidth="1"/>
    <col min="20" max="20" width="16.6640625" bestFit="1" customWidth="1"/>
    <col min="21" max="21" width="27" bestFit="1" customWidth="1"/>
    <col min="22" max="22" width="27.5" bestFit="1" customWidth="1"/>
    <col min="23" max="23" width="26.83203125" bestFit="1" customWidth="1"/>
    <col min="24" max="24" width="21.6640625" bestFit="1" customWidth="1"/>
  </cols>
  <sheetData>
    <row r="1" spans="1:24" x14ac:dyDescent="0.2">
      <c r="A1" t="s">
        <v>0</v>
      </c>
      <c r="B1" t="s">
        <v>1</v>
      </c>
      <c r="C1" t="s">
        <v>10</v>
      </c>
      <c r="D1" t="s">
        <v>80</v>
      </c>
      <c r="E1" t="s">
        <v>81</v>
      </c>
      <c r="F1" t="s">
        <v>11</v>
      </c>
      <c r="G1" t="s">
        <v>12</v>
      </c>
      <c r="H1" t="s">
        <v>13</v>
      </c>
      <c r="I1" t="s">
        <v>14</v>
      </c>
      <c r="J1" t="s">
        <v>79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 x14ac:dyDescent="0.2">
      <c r="A2">
        <v>2024</v>
      </c>
      <c r="B2">
        <v>4</v>
      </c>
      <c r="C2">
        <v>862.8</v>
      </c>
      <c r="D2">
        <f t="shared" ref="D2:D45" si="0">C2*90%*65%*1000</f>
        <v>504738</v>
      </c>
      <c r="E2">
        <v>132128</v>
      </c>
      <c r="F2">
        <f t="shared" ref="F2:F45" si="1">E2*85%*40%</f>
        <v>44923.520000000004</v>
      </c>
      <c r="G2">
        <v>120.4</v>
      </c>
      <c r="H2">
        <v>1279.8</v>
      </c>
      <c r="I2">
        <v>37383</v>
      </c>
      <c r="J2" s="1">
        <v>439246</v>
      </c>
      <c r="K2" s="3">
        <v>0.8919784311373572</v>
      </c>
      <c r="L2">
        <v>586</v>
      </c>
      <c r="M2" s="1">
        <v>68.38</v>
      </c>
      <c r="N2">
        <v>11</v>
      </c>
      <c r="O2" s="3">
        <v>0.53895370868901871</v>
      </c>
      <c r="P2" s="3">
        <v>0.70563654587038549</v>
      </c>
      <c r="Q2" s="3">
        <v>0.39198769325666</v>
      </c>
      <c r="R2" s="3">
        <v>1.6958485527134543E-2</v>
      </c>
      <c r="S2" s="3">
        <v>0.17542906421190932</v>
      </c>
      <c r="T2" s="3">
        <v>0.12612280884277163</v>
      </c>
      <c r="U2" s="3">
        <v>3049.0401782268736</v>
      </c>
      <c r="V2" s="3">
        <v>2261.7819378896043</v>
      </c>
      <c r="W2" s="3">
        <v>2977.9158511100682</v>
      </c>
      <c r="X2">
        <v>12</v>
      </c>
    </row>
    <row r="3" spans="1:24" x14ac:dyDescent="0.2">
      <c r="A3">
        <v>2024</v>
      </c>
      <c r="B3">
        <v>3</v>
      </c>
      <c r="C3">
        <v>862.8</v>
      </c>
      <c r="D3">
        <f t="shared" si="0"/>
        <v>504738</v>
      </c>
      <c r="E3">
        <v>132128</v>
      </c>
      <c r="F3">
        <f t="shared" si="1"/>
        <v>44923.520000000004</v>
      </c>
      <c r="G3">
        <v>120.4</v>
      </c>
      <c r="H3">
        <v>1279.8</v>
      </c>
      <c r="I3">
        <v>37383</v>
      </c>
      <c r="J3" s="1">
        <v>439246</v>
      </c>
      <c r="K3" s="3">
        <v>0.8919784311373572</v>
      </c>
      <c r="L3">
        <v>586</v>
      </c>
      <c r="M3" s="1">
        <v>68.38</v>
      </c>
      <c r="N3">
        <v>11</v>
      </c>
      <c r="O3" s="3">
        <v>0.53895370868901871</v>
      </c>
      <c r="P3" s="3">
        <v>0.70563654587038549</v>
      </c>
      <c r="Q3" s="3">
        <v>0.39198769325666</v>
      </c>
      <c r="R3" s="3">
        <v>1.6958485527134543E-2</v>
      </c>
      <c r="S3" s="3">
        <v>0.17542906421190932</v>
      </c>
      <c r="T3" s="3">
        <v>0.12612280884277163</v>
      </c>
      <c r="U3" s="3">
        <v>3049.0401782268736</v>
      </c>
      <c r="V3" s="3">
        <v>2261.7819378896043</v>
      </c>
      <c r="W3" s="3">
        <v>2977.9158511100682</v>
      </c>
      <c r="X3">
        <v>12</v>
      </c>
    </row>
    <row r="4" spans="1:24" x14ac:dyDescent="0.2">
      <c r="A4">
        <v>2024</v>
      </c>
      <c r="B4">
        <v>2</v>
      </c>
      <c r="C4">
        <v>862.8</v>
      </c>
      <c r="D4">
        <f t="shared" si="0"/>
        <v>504738</v>
      </c>
      <c r="E4">
        <v>132128</v>
      </c>
      <c r="F4">
        <f t="shared" si="1"/>
        <v>44923.520000000004</v>
      </c>
      <c r="G4">
        <v>120.4</v>
      </c>
      <c r="H4">
        <v>1279.8</v>
      </c>
      <c r="I4">
        <v>37383</v>
      </c>
      <c r="J4" s="1">
        <v>439246</v>
      </c>
      <c r="K4" s="3">
        <v>0.8919784311373572</v>
      </c>
      <c r="L4">
        <v>586</v>
      </c>
      <c r="M4" s="1">
        <v>68.38</v>
      </c>
      <c r="N4">
        <v>11</v>
      </c>
      <c r="O4" s="3">
        <v>0.53895370868901871</v>
      </c>
      <c r="P4" s="3">
        <v>0.70563654587038549</v>
      </c>
      <c r="Q4" s="3">
        <v>0.39198769325666</v>
      </c>
      <c r="R4" s="3">
        <v>1.6958485527134543E-2</v>
      </c>
      <c r="S4" s="3">
        <v>0.17542906421190932</v>
      </c>
      <c r="T4" s="3">
        <v>0.12612280884277163</v>
      </c>
      <c r="U4" s="3">
        <v>3049.0401782268736</v>
      </c>
      <c r="V4" s="3">
        <v>2261.7819378896043</v>
      </c>
      <c r="W4" s="3">
        <v>2977.9158511100682</v>
      </c>
      <c r="X4">
        <v>12</v>
      </c>
    </row>
    <row r="5" spans="1:24" x14ac:dyDescent="0.2">
      <c r="A5">
        <v>2024</v>
      </c>
      <c r="B5">
        <v>1</v>
      </c>
      <c r="C5">
        <v>862.8</v>
      </c>
      <c r="D5">
        <f t="shared" si="0"/>
        <v>504738</v>
      </c>
      <c r="E5">
        <v>132128</v>
      </c>
      <c r="F5">
        <f t="shared" si="1"/>
        <v>44923.520000000004</v>
      </c>
      <c r="G5">
        <v>120.4</v>
      </c>
      <c r="H5">
        <v>1279.8</v>
      </c>
      <c r="I5">
        <v>37383</v>
      </c>
      <c r="J5" s="1">
        <v>439246</v>
      </c>
      <c r="K5" s="3">
        <v>0.8919784311373572</v>
      </c>
      <c r="L5">
        <v>586</v>
      </c>
      <c r="M5" s="1">
        <v>68.38</v>
      </c>
      <c r="N5">
        <v>11</v>
      </c>
      <c r="O5" s="3">
        <v>0.53895370868901871</v>
      </c>
      <c r="P5" s="3">
        <v>0.70563654587038549</v>
      </c>
      <c r="Q5" s="3">
        <v>0.39198769325666</v>
      </c>
      <c r="R5" s="3">
        <v>1.6958485527134543E-2</v>
      </c>
      <c r="S5" s="3">
        <v>0.17542906421190932</v>
      </c>
      <c r="T5" s="3">
        <v>0.12612280884277163</v>
      </c>
      <c r="U5" s="3">
        <v>3049.0401782268736</v>
      </c>
      <c r="V5" s="3">
        <v>2261.7819378896043</v>
      </c>
      <c r="W5" s="3">
        <v>2977.9158511100682</v>
      </c>
      <c r="X5">
        <v>12</v>
      </c>
    </row>
    <row r="6" spans="1:24" x14ac:dyDescent="0.2">
      <c r="A6">
        <v>2023</v>
      </c>
      <c r="B6">
        <v>4</v>
      </c>
      <c r="C6">
        <v>939.3</v>
      </c>
      <c r="D6">
        <f t="shared" si="0"/>
        <v>549490.5</v>
      </c>
      <c r="E6">
        <v>127625</v>
      </c>
      <c r="F6">
        <f t="shared" si="1"/>
        <v>43392.5</v>
      </c>
      <c r="G6">
        <v>127.1</v>
      </c>
      <c r="H6">
        <v>1306.5999999999999</v>
      </c>
      <c r="I6">
        <v>36489</v>
      </c>
      <c r="J6" s="1">
        <v>425411</v>
      </c>
      <c r="K6" s="3">
        <v>0.88874951366965882</v>
      </c>
      <c r="L6">
        <v>583</v>
      </c>
      <c r="M6" s="1">
        <v>67.150000000000006</v>
      </c>
      <c r="N6">
        <v>12</v>
      </c>
      <c r="O6" s="3">
        <v>0.58363503703698816</v>
      </c>
      <c r="P6" s="3">
        <v>0.70855433134140955</v>
      </c>
      <c r="Q6" s="3">
        <v>0.37970847035817101</v>
      </c>
      <c r="R6" s="3">
        <v>1.4699902069176587E-2</v>
      </c>
      <c r="S6" s="3">
        <v>0.1551488332043803</v>
      </c>
      <c r="T6" s="3">
        <v>0.12447767078838315</v>
      </c>
      <c r="U6" s="3">
        <v>3193.8899675780776</v>
      </c>
      <c r="V6" s="3">
        <v>2487.1044409768201</v>
      </c>
      <c r="W6" s="3">
        <v>3017.1309705064514</v>
      </c>
      <c r="X6">
        <v>12</v>
      </c>
    </row>
    <row r="7" spans="1:24" x14ac:dyDescent="0.2">
      <c r="A7">
        <v>2023</v>
      </c>
      <c r="B7">
        <v>3</v>
      </c>
      <c r="C7">
        <v>939.3</v>
      </c>
      <c r="D7">
        <f t="shared" si="0"/>
        <v>549490.5</v>
      </c>
      <c r="E7">
        <v>127625</v>
      </c>
      <c r="F7">
        <f t="shared" si="1"/>
        <v>43392.5</v>
      </c>
      <c r="G7">
        <v>127.1</v>
      </c>
      <c r="H7">
        <v>1306.5999999999999</v>
      </c>
      <c r="I7">
        <v>36489</v>
      </c>
      <c r="J7" s="1">
        <v>425411</v>
      </c>
      <c r="K7" s="3">
        <v>0.88874951366965882</v>
      </c>
      <c r="L7">
        <v>583</v>
      </c>
      <c r="M7" s="1">
        <v>67.150000000000006</v>
      </c>
      <c r="N7">
        <v>12</v>
      </c>
      <c r="O7" s="3">
        <v>0.58363503703698816</v>
      </c>
      <c r="P7" s="3">
        <v>0.70855433134140955</v>
      </c>
      <c r="Q7" s="3">
        <v>0.37970847035817101</v>
      </c>
      <c r="R7" s="3">
        <v>1.4699902069176587E-2</v>
      </c>
      <c r="S7" s="3">
        <v>0.1551488332043803</v>
      </c>
      <c r="T7" s="3">
        <v>0.12447767078838315</v>
      </c>
      <c r="U7" s="3">
        <v>3193.8899675780776</v>
      </c>
      <c r="V7" s="3">
        <v>2487.1044409768201</v>
      </c>
      <c r="W7" s="3">
        <v>3017.1309705064514</v>
      </c>
      <c r="X7">
        <v>12</v>
      </c>
    </row>
    <row r="8" spans="1:24" x14ac:dyDescent="0.2">
      <c r="A8">
        <v>2023</v>
      </c>
      <c r="B8">
        <v>2</v>
      </c>
      <c r="C8">
        <v>939.3</v>
      </c>
      <c r="D8">
        <f t="shared" si="0"/>
        <v>549490.5</v>
      </c>
      <c r="E8">
        <v>127625</v>
      </c>
      <c r="F8">
        <f t="shared" si="1"/>
        <v>43392.5</v>
      </c>
      <c r="G8">
        <v>127.1</v>
      </c>
      <c r="H8">
        <v>1306.5999999999999</v>
      </c>
      <c r="I8">
        <v>36489</v>
      </c>
      <c r="J8" s="1">
        <v>425411</v>
      </c>
      <c r="K8" s="3">
        <v>0.88874951366965882</v>
      </c>
      <c r="L8">
        <v>583</v>
      </c>
      <c r="M8" s="1">
        <v>67.150000000000006</v>
      </c>
      <c r="N8">
        <v>12</v>
      </c>
      <c r="O8" s="3">
        <v>0.58363503703698816</v>
      </c>
      <c r="P8" s="3">
        <v>0.70855433134140955</v>
      </c>
      <c r="Q8" s="3">
        <v>0.37970847035817101</v>
      </c>
      <c r="R8" s="3">
        <v>1.4699902069176587E-2</v>
      </c>
      <c r="S8" s="3">
        <v>0.1551488332043803</v>
      </c>
      <c r="T8" s="3">
        <v>0.12447767078838315</v>
      </c>
      <c r="U8" s="3">
        <v>3193.8899675780776</v>
      </c>
      <c r="V8" s="3">
        <v>2487.1044409768201</v>
      </c>
      <c r="W8" s="3">
        <v>3017.1309705064514</v>
      </c>
      <c r="X8">
        <v>12</v>
      </c>
    </row>
    <row r="9" spans="1:24" x14ac:dyDescent="0.2">
      <c r="A9">
        <v>2023</v>
      </c>
      <c r="B9">
        <v>1</v>
      </c>
      <c r="C9">
        <v>939.3</v>
      </c>
      <c r="D9">
        <f t="shared" si="0"/>
        <v>549490.5</v>
      </c>
      <c r="E9">
        <v>127625</v>
      </c>
      <c r="F9">
        <f t="shared" si="1"/>
        <v>43392.5</v>
      </c>
      <c r="G9">
        <v>127.1</v>
      </c>
      <c r="H9">
        <v>1306.5999999999999</v>
      </c>
      <c r="I9">
        <v>36489</v>
      </c>
      <c r="J9" s="1">
        <v>425411</v>
      </c>
      <c r="K9" s="3">
        <v>0.88874951366965882</v>
      </c>
      <c r="L9">
        <v>583</v>
      </c>
      <c r="M9" s="1">
        <v>67.150000000000006</v>
      </c>
      <c r="N9">
        <v>12</v>
      </c>
      <c r="O9" s="3">
        <v>0.58363503703698816</v>
      </c>
      <c r="P9" s="3">
        <v>0.70855433134140955</v>
      </c>
      <c r="Q9" s="3">
        <v>0.37970847035817101</v>
      </c>
      <c r="R9" s="3">
        <v>1.4699902069176587E-2</v>
      </c>
      <c r="S9" s="3">
        <v>0.1551488332043803</v>
      </c>
      <c r="T9" s="3">
        <v>0.12447767078838315</v>
      </c>
      <c r="U9" s="3">
        <v>3193.8899675780776</v>
      </c>
      <c r="V9" s="3">
        <v>2487.1044409768201</v>
      </c>
      <c r="W9" s="3">
        <v>3017.1309705064514</v>
      </c>
      <c r="X9">
        <v>12</v>
      </c>
    </row>
    <row r="10" spans="1:24" x14ac:dyDescent="0.2">
      <c r="A10">
        <v>2022</v>
      </c>
      <c r="B10">
        <v>4</v>
      </c>
      <c r="C10">
        <v>952.5</v>
      </c>
      <c r="D10">
        <f t="shared" si="0"/>
        <v>557212.5</v>
      </c>
      <c r="E10">
        <v>123377</v>
      </c>
      <c r="F10">
        <f t="shared" si="1"/>
        <v>41948.18</v>
      </c>
      <c r="G10">
        <v>129.6</v>
      </c>
      <c r="H10">
        <v>1261.3</v>
      </c>
      <c r="I10">
        <v>35700</v>
      </c>
      <c r="J10" s="1">
        <v>248380.6</v>
      </c>
      <c r="K10" s="3">
        <v>0.85765645805592539</v>
      </c>
      <c r="L10">
        <v>729</v>
      </c>
      <c r="M10" s="1">
        <v>66.739999999999995</v>
      </c>
      <c r="N10">
        <v>12</v>
      </c>
      <c r="O10" s="3">
        <v>0.63537716010024303</v>
      </c>
      <c r="P10" s="3">
        <v>0.68570954744454982</v>
      </c>
      <c r="Q10" s="3">
        <v>0.3931563101124419</v>
      </c>
      <c r="R10" s="3">
        <v>1.47894361882423E-2</v>
      </c>
      <c r="S10" s="3">
        <v>0.10628785178790563</v>
      </c>
      <c r="T10" s="3">
        <v>0.12352039535297482</v>
      </c>
      <c r="U10" s="3">
        <v>3361.4262190540512</v>
      </c>
      <c r="V10" s="3">
        <v>2764.8051083807404</v>
      </c>
      <c r="W10" s="3">
        <v>3075.694059234389</v>
      </c>
      <c r="X10">
        <v>12</v>
      </c>
    </row>
    <row r="11" spans="1:24" x14ac:dyDescent="0.2">
      <c r="A11">
        <v>2022</v>
      </c>
      <c r="B11">
        <v>3</v>
      </c>
      <c r="C11">
        <v>952.5</v>
      </c>
      <c r="D11">
        <f t="shared" si="0"/>
        <v>557212.5</v>
      </c>
      <c r="E11">
        <v>123377</v>
      </c>
      <c r="F11">
        <f t="shared" si="1"/>
        <v>41948.18</v>
      </c>
      <c r="G11">
        <v>129.6</v>
      </c>
      <c r="H11">
        <v>1261.3</v>
      </c>
      <c r="I11">
        <v>35700</v>
      </c>
      <c r="J11" s="1">
        <v>248380.6</v>
      </c>
      <c r="K11" s="3">
        <v>0.85765645805592539</v>
      </c>
      <c r="L11">
        <v>729</v>
      </c>
      <c r="M11" s="1">
        <v>66.739999999999995</v>
      </c>
      <c r="N11">
        <v>12</v>
      </c>
      <c r="O11" s="3">
        <v>0.63537716010024303</v>
      </c>
      <c r="P11" s="3">
        <v>0.68570954744454982</v>
      </c>
      <c r="Q11" s="3">
        <v>0.3931563101124419</v>
      </c>
      <c r="R11" s="3">
        <v>1.47894361882423E-2</v>
      </c>
      <c r="S11" s="3">
        <v>0.10628785178790563</v>
      </c>
      <c r="T11" s="3">
        <v>0.12352039535297482</v>
      </c>
      <c r="U11" s="3">
        <v>3361.4262190540512</v>
      </c>
      <c r="V11" s="3">
        <v>2764.8051083807404</v>
      </c>
      <c r="W11" s="3">
        <v>3075.694059234389</v>
      </c>
      <c r="X11">
        <v>12</v>
      </c>
    </row>
    <row r="12" spans="1:24" x14ac:dyDescent="0.2">
      <c r="A12">
        <v>2022</v>
      </c>
      <c r="B12">
        <v>2</v>
      </c>
      <c r="C12">
        <v>952.5</v>
      </c>
      <c r="D12">
        <f t="shared" si="0"/>
        <v>557212.5</v>
      </c>
      <c r="E12">
        <v>123377</v>
      </c>
      <c r="F12">
        <f t="shared" si="1"/>
        <v>41948.18</v>
      </c>
      <c r="G12">
        <v>129.6</v>
      </c>
      <c r="H12">
        <v>1261.3</v>
      </c>
      <c r="I12">
        <v>35700</v>
      </c>
      <c r="J12" s="1">
        <v>248380.6</v>
      </c>
      <c r="K12" s="3">
        <v>0.85765645805592539</v>
      </c>
      <c r="L12">
        <v>729</v>
      </c>
      <c r="M12" s="1">
        <v>66.739999999999995</v>
      </c>
      <c r="N12">
        <v>12</v>
      </c>
      <c r="O12" s="3">
        <v>0.63537716010024303</v>
      </c>
      <c r="P12" s="3">
        <v>0.68570954744454982</v>
      </c>
      <c r="Q12" s="3">
        <v>0.3931563101124419</v>
      </c>
      <c r="R12" s="3">
        <v>1.47894361882423E-2</v>
      </c>
      <c r="S12" s="3">
        <v>0.10628785178790563</v>
      </c>
      <c r="T12" s="3">
        <v>0.12352039535297482</v>
      </c>
      <c r="U12" s="3">
        <v>3361.4262190540512</v>
      </c>
      <c r="V12" s="3">
        <v>2764.8051083807404</v>
      </c>
      <c r="W12" s="3">
        <v>3075.694059234389</v>
      </c>
      <c r="X12">
        <v>12</v>
      </c>
    </row>
    <row r="13" spans="1:24" x14ac:dyDescent="0.2">
      <c r="A13">
        <v>2022</v>
      </c>
      <c r="B13">
        <v>1</v>
      </c>
      <c r="C13">
        <v>952.5</v>
      </c>
      <c r="D13">
        <f t="shared" si="0"/>
        <v>557212.5</v>
      </c>
      <c r="E13">
        <v>123377</v>
      </c>
      <c r="F13">
        <f t="shared" si="1"/>
        <v>41948.18</v>
      </c>
      <c r="G13">
        <v>129.6</v>
      </c>
      <c r="H13">
        <v>1261.3</v>
      </c>
      <c r="I13">
        <v>35700</v>
      </c>
      <c r="J13" s="1">
        <v>248380.6</v>
      </c>
      <c r="K13" s="3">
        <v>0.85765645805592539</v>
      </c>
      <c r="L13">
        <v>729</v>
      </c>
      <c r="M13" s="1">
        <v>66.739999999999995</v>
      </c>
      <c r="N13">
        <v>12</v>
      </c>
      <c r="O13" s="3">
        <v>0.63537716010024303</v>
      </c>
      <c r="P13" s="3">
        <v>0.68570954744454982</v>
      </c>
      <c r="Q13" s="3">
        <v>0.3931563101124419</v>
      </c>
      <c r="R13" s="3">
        <v>1.47894361882423E-2</v>
      </c>
      <c r="S13" s="3">
        <v>0.10628785178790563</v>
      </c>
      <c r="T13" s="3">
        <v>0.12352039535297482</v>
      </c>
      <c r="U13" s="3">
        <v>3361.4262190540512</v>
      </c>
      <c r="V13" s="3">
        <v>2764.8051083807404</v>
      </c>
      <c r="W13" s="3">
        <v>3075.694059234389</v>
      </c>
      <c r="X13">
        <v>12</v>
      </c>
    </row>
    <row r="14" spans="1:24" x14ac:dyDescent="0.2">
      <c r="A14">
        <v>2021</v>
      </c>
      <c r="B14">
        <v>4</v>
      </c>
      <c r="C14">
        <v>983.8</v>
      </c>
      <c r="D14">
        <f t="shared" si="0"/>
        <v>575523</v>
      </c>
      <c r="E14">
        <v>119595</v>
      </c>
      <c r="F14">
        <f t="shared" si="1"/>
        <v>40662.300000000003</v>
      </c>
      <c r="G14">
        <v>130.30000000000001</v>
      </c>
      <c r="H14">
        <v>1185.0999999999999</v>
      </c>
      <c r="I14">
        <v>35721</v>
      </c>
      <c r="J14" s="1">
        <v>399996</v>
      </c>
      <c r="K14" s="3">
        <v>0.8873315364161054</v>
      </c>
      <c r="L14">
        <v>718</v>
      </c>
      <c r="M14" s="1">
        <v>68.599999999999994</v>
      </c>
      <c r="N14">
        <v>8</v>
      </c>
      <c r="O14" s="3">
        <v>0.58254771095352187</v>
      </c>
      <c r="P14" s="3">
        <v>0.69261084205620127</v>
      </c>
      <c r="Q14" s="3">
        <v>0.34709874597267537</v>
      </c>
      <c r="R14" s="3">
        <v>1.7683229075862266E-2</v>
      </c>
      <c r="S14" s="3">
        <v>0.115414881446381</v>
      </c>
      <c r="T14" s="3">
        <v>0.10266302393967776</v>
      </c>
      <c r="U14" s="3">
        <v>3244.9806000253466</v>
      </c>
      <c r="V14" s="3">
        <v>2854.303694649057</v>
      </c>
      <c r="W14" s="3">
        <v>3308.6568078175228</v>
      </c>
      <c r="X14">
        <v>12</v>
      </c>
    </row>
    <row r="15" spans="1:24" x14ac:dyDescent="0.2">
      <c r="A15">
        <v>2021</v>
      </c>
      <c r="B15">
        <v>3</v>
      </c>
      <c r="C15">
        <v>983.8</v>
      </c>
      <c r="D15">
        <f t="shared" si="0"/>
        <v>575523</v>
      </c>
      <c r="E15">
        <v>119595</v>
      </c>
      <c r="F15">
        <f t="shared" si="1"/>
        <v>40662.300000000003</v>
      </c>
      <c r="G15">
        <v>130.30000000000001</v>
      </c>
      <c r="H15">
        <v>1185.0999999999999</v>
      </c>
      <c r="I15">
        <v>35721</v>
      </c>
      <c r="J15" s="1">
        <v>399996</v>
      </c>
      <c r="K15" s="3">
        <v>0.8873315364161054</v>
      </c>
      <c r="L15">
        <v>718</v>
      </c>
      <c r="M15" s="1">
        <v>68.599999999999994</v>
      </c>
      <c r="N15">
        <v>8</v>
      </c>
      <c r="O15" s="3">
        <v>0.58254771095352187</v>
      </c>
      <c r="P15" s="3">
        <v>0.69261084205620127</v>
      </c>
      <c r="Q15" s="3">
        <v>0.34709874597267537</v>
      </c>
      <c r="R15" s="3">
        <v>1.7683229075862266E-2</v>
      </c>
      <c r="S15" s="3">
        <v>0.115414881446381</v>
      </c>
      <c r="T15" s="3">
        <v>0.10266302393967776</v>
      </c>
      <c r="U15" s="3">
        <v>3244.9806000253466</v>
      </c>
      <c r="V15" s="3">
        <v>2854.303694649057</v>
      </c>
      <c r="W15" s="3">
        <v>3308.6568078175228</v>
      </c>
      <c r="X15">
        <v>12</v>
      </c>
    </row>
    <row r="16" spans="1:24" x14ac:dyDescent="0.2">
      <c r="A16">
        <v>2021</v>
      </c>
      <c r="B16">
        <v>2</v>
      </c>
      <c r="C16">
        <v>983.8</v>
      </c>
      <c r="D16">
        <f t="shared" si="0"/>
        <v>575523</v>
      </c>
      <c r="E16">
        <v>119595</v>
      </c>
      <c r="F16">
        <f t="shared" si="1"/>
        <v>40662.300000000003</v>
      </c>
      <c r="G16">
        <v>130.30000000000001</v>
      </c>
      <c r="H16">
        <v>1185.0999999999999</v>
      </c>
      <c r="I16">
        <v>35721</v>
      </c>
      <c r="J16" s="1">
        <v>399996</v>
      </c>
      <c r="K16" s="3">
        <v>0.8873315364161054</v>
      </c>
      <c r="L16">
        <v>718</v>
      </c>
      <c r="M16" s="1">
        <v>68.599999999999994</v>
      </c>
      <c r="N16">
        <v>8</v>
      </c>
      <c r="O16" s="3">
        <v>0.58254771095352187</v>
      </c>
      <c r="P16" s="3">
        <v>0.69261084205620127</v>
      </c>
      <c r="Q16" s="3">
        <v>0.34709874597267537</v>
      </c>
      <c r="R16" s="3">
        <v>1.7683229075862266E-2</v>
      </c>
      <c r="S16" s="3">
        <v>0.115414881446381</v>
      </c>
      <c r="T16" s="3">
        <v>0.10266302393967776</v>
      </c>
      <c r="U16" s="3">
        <v>3244.9806000253466</v>
      </c>
      <c r="V16" s="3">
        <v>2854.303694649057</v>
      </c>
      <c r="W16" s="3">
        <v>3308.6568078175228</v>
      </c>
      <c r="X16">
        <v>12</v>
      </c>
    </row>
    <row r="17" spans="1:24" x14ac:dyDescent="0.2">
      <c r="A17">
        <v>2021</v>
      </c>
      <c r="B17">
        <v>1</v>
      </c>
      <c r="C17">
        <v>983.8</v>
      </c>
      <c r="D17">
        <f t="shared" si="0"/>
        <v>575523</v>
      </c>
      <c r="E17">
        <v>119595</v>
      </c>
      <c r="F17">
        <f t="shared" si="1"/>
        <v>40662.300000000003</v>
      </c>
      <c r="G17">
        <v>130.30000000000001</v>
      </c>
      <c r="H17">
        <v>1185.0999999999999</v>
      </c>
      <c r="I17">
        <v>35721</v>
      </c>
      <c r="J17" s="1">
        <v>399996</v>
      </c>
      <c r="K17" s="3">
        <v>0.8873315364161054</v>
      </c>
      <c r="L17">
        <v>718</v>
      </c>
      <c r="M17" s="1">
        <v>68.599999999999994</v>
      </c>
      <c r="N17">
        <v>8</v>
      </c>
      <c r="O17" s="3">
        <v>0.58254771095352187</v>
      </c>
      <c r="P17" s="3">
        <v>0.69261084205620127</v>
      </c>
      <c r="Q17" s="3">
        <v>0.34709874597267537</v>
      </c>
      <c r="R17" s="3">
        <v>1.7683229075862266E-2</v>
      </c>
      <c r="S17" s="3">
        <v>0.115414881446381</v>
      </c>
      <c r="T17" s="3">
        <v>0.10266302393967776</v>
      </c>
      <c r="U17" s="3">
        <v>3244.9806000253466</v>
      </c>
      <c r="V17" s="3">
        <v>2854.303694649057</v>
      </c>
      <c r="W17" s="3">
        <v>3308.6568078175228</v>
      </c>
      <c r="X17">
        <v>12</v>
      </c>
    </row>
    <row r="18" spans="1:24" x14ac:dyDescent="0.2">
      <c r="A18">
        <v>2020</v>
      </c>
      <c r="B18">
        <v>4</v>
      </c>
      <c r="C18">
        <v>973.5</v>
      </c>
      <c r="D18">
        <f t="shared" si="0"/>
        <v>569497.50000000012</v>
      </c>
      <c r="E18">
        <v>116090</v>
      </c>
      <c r="F18">
        <f t="shared" si="1"/>
        <v>39470.600000000006</v>
      </c>
      <c r="G18">
        <v>130.4</v>
      </c>
      <c r="H18">
        <v>1097.0999999999999</v>
      </c>
      <c r="I18">
        <v>35280</v>
      </c>
      <c r="J18" s="1">
        <v>229628.79999999999</v>
      </c>
      <c r="K18" s="3">
        <v>0.89876989869753976</v>
      </c>
      <c r="L18">
        <v>725</v>
      </c>
      <c r="M18" s="1">
        <v>66.930000000000007</v>
      </c>
      <c r="N18">
        <v>2</v>
      </c>
      <c r="O18" s="3">
        <v>0.59993248175899239</v>
      </c>
      <c r="P18" s="3">
        <v>0.70139649512093893</v>
      </c>
      <c r="Q18" s="3">
        <v>0.30441451479608056</v>
      </c>
      <c r="R18" s="3">
        <v>1.9171804429984299E-3</v>
      </c>
      <c r="S18" s="3">
        <v>0.12703399359898424</v>
      </c>
      <c r="T18" s="3">
        <v>8.3333281262891357E-2</v>
      </c>
      <c r="U18" s="3">
        <v>3879.4030911941732</v>
      </c>
      <c r="V18" s="3">
        <v>2968.2393506360359</v>
      </c>
      <c r="W18" s="3">
        <v>3524.5569753965506</v>
      </c>
      <c r="X18">
        <v>12</v>
      </c>
    </row>
    <row r="19" spans="1:24" x14ac:dyDescent="0.2">
      <c r="A19">
        <v>2020</v>
      </c>
      <c r="B19">
        <v>3</v>
      </c>
      <c r="C19">
        <v>973.5</v>
      </c>
      <c r="D19">
        <f t="shared" si="0"/>
        <v>569497.50000000012</v>
      </c>
      <c r="E19">
        <v>116090</v>
      </c>
      <c r="F19">
        <f t="shared" si="1"/>
        <v>39470.600000000006</v>
      </c>
      <c r="G19">
        <v>130.4</v>
      </c>
      <c r="H19">
        <v>1097.0999999999999</v>
      </c>
      <c r="I19">
        <v>35280</v>
      </c>
      <c r="J19" s="1">
        <v>229628.79999999999</v>
      </c>
      <c r="K19" s="3">
        <v>0.89876989869753976</v>
      </c>
      <c r="L19">
        <v>725</v>
      </c>
      <c r="M19" s="1">
        <v>66.930000000000007</v>
      </c>
      <c r="N19">
        <v>2</v>
      </c>
      <c r="O19" s="3">
        <v>0.59993248175899239</v>
      </c>
      <c r="P19" s="3">
        <v>0.70139649512093893</v>
      </c>
      <c r="Q19" s="3">
        <v>0.30441451479608056</v>
      </c>
      <c r="R19" s="3">
        <v>1.9171804429984299E-3</v>
      </c>
      <c r="S19" s="3">
        <v>0.12703399359898424</v>
      </c>
      <c r="T19" s="3">
        <v>8.3333281262891357E-2</v>
      </c>
      <c r="U19" s="3">
        <v>3879.4030911941732</v>
      </c>
      <c r="V19" s="3">
        <v>2968.2393506360359</v>
      </c>
      <c r="W19" s="3">
        <v>3524.5569753965506</v>
      </c>
      <c r="X19">
        <v>12</v>
      </c>
    </row>
    <row r="20" spans="1:24" x14ac:dyDescent="0.2">
      <c r="A20">
        <v>2020</v>
      </c>
      <c r="B20">
        <v>2</v>
      </c>
      <c r="C20">
        <v>973.5</v>
      </c>
      <c r="D20">
        <f t="shared" si="0"/>
        <v>569497.50000000012</v>
      </c>
      <c r="E20">
        <v>116090</v>
      </c>
      <c r="F20">
        <f t="shared" si="1"/>
        <v>39470.600000000006</v>
      </c>
      <c r="G20">
        <v>130.4</v>
      </c>
      <c r="H20">
        <v>1097.0999999999999</v>
      </c>
      <c r="I20">
        <v>35280</v>
      </c>
      <c r="J20" s="1">
        <v>229628.79999999999</v>
      </c>
      <c r="K20" s="3">
        <v>0.89876989869753976</v>
      </c>
      <c r="L20">
        <v>725</v>
      </c>
      <c r="M20" s="1">
        <v>66.930000000000007</v>
      </c>
      <c r="N20">
        <v>2</v>
      </c>
      <c r="O20" s="3">
        <v>0.59993248175899239</v>
      </c>
      <c r="P20" s="3">
        <v>0.70139649512093893</v>
      </c>
      <c r="Q20" s="3">
        <v>0.30441451479608056</v>
      </c>
      <c r="R20" s="3">
        <v>1.9171804429984299E-3</v>
      </c>
      <c r="S20" s="3">
        <v>0.12703399359898424</v>
      </c>
      <c r="T20" s="3">
        <v>8.3333281262891357E-2</v>
      </c>
      <c r="U20" s="3">
        <v>3879.4030911941732</v>
      </c>
      <c r="V20" s="3">
        <v>2968.2393506360359</v>
      </c>
      <c r="W20" s="3">
        <v>3524.5569753965506</v>
      </c>
      <c r="X20">
        <v>12</v>
      </c>
    </row>
    <row r="21" spans="1:24" x14ac:dyDescent="0.2">
      <c r="A21">
        <v>2020</v>
      </c>
      <c r="B21">
        <v>1</v>
      </c>
      <c r="C21">
        <v>973.5</v>
      </c>
      <c r="D21">
        <f t="shared" si="0"/>
        <v>569497.50000000012</v>
      </c>
      <c r="E21">
        <v>116090</v>
      </c>
      <c r="F21">
        <f t="shared" si="1"/>
        <v>39470.600000000006</v>
      </c>
      <c r="G21">
        <v>130.4</v>
      </c>
      <c r="H21">
        <v>1097.0999999999999</v>
      </c>
      <c r="I21">
        <v>35280</v>
      </c>
      <c r="J21" s="1">
        <v>229628.79999999999</v>
      </c>
      <c r="K21" s="3">
        <v>0.89876989869753976</v>
      </c>
      <c r="L21">
        <v>725</v>
      </c>
      <c r="M21" s="1">
        <v>66.930000000000007</v>
      </c>
      <c r="N21">
        <v>2</v>
      </c>
      <c r="O21" s="3">
        <v>0.59993248175899239</v>
      </c>
      <c r="P21" s="3">
        <v>0.70139649512093893</v>
      </c>
      <c r="Q21" s="3">
        <v>0.30441451479608056</v>
      </c>
      <c r="R21" s="3">
        <v>1.9171804429984299E-3</v>
      </c>
      <c r="S21" s="3">
        <v>0.12703399359898424</v>
      </c>
      <c r="T21" s="3">
        <v>8.3333281262891357E-2</v>
      </c>
      <c r="U21" s="3">
        <v>3879.4030911941732</v>
      </c>
      <c r="V21" s="3">
        <v>2968.2393506360359</v>
      </c>
      <c r="W21" s="3">
        <v>3524.5569753965506</v>
      </c>
      <c r="X21">
        <v>12</v>
      </c>
    </row>
    <row r="22" spans="1:24" x14ac:dyDescent="0.2">
      <c r="A22">
        <v>2019</v>
      </c>
      <c r="B22">
        <v>4</v>
      </c>
      <c r="C22">
        <v>969.4</v>
      </c>
      <c r="D22">
        <f t="shared" si="0"/>
        <v>567099</v>
      </c>
      <c r="E22">
        <v>112637</v>
      </c>
      <c r="F22">
        <f t="shared" si="1"/>
        <v>38296.58</v>
      </c>
      <c r="G22">
        <v>128.9</v>
      </c>
      <c r="H22">
        <v>979.9</v>
      </c>
      <c r="I22">
        <v>33517</v>
      </c>
      <c r="J22" s="1">
        <v>392909</v>
      </c>
      <c r="K22" s="3">
        <v>0.89553540914333085</v>
      </c>
      <c r="L22">
        <v>596</v>
      </c>
      <c r="M22" s="1">
        <v>68.8</v>
      </c>
      <c r="N22">
        <v>4</v>
      </c>
      <c r="O22" s="3">
        <v>0.59833561466033158</v>
      </c>
      <c r="P22" s="3">
        <v>0.68941232152780074</v>
      </c>
      <c r="Q22" s="3">
        <v>0.29817702297499332</v>
      </c>
      <c r="R22" s="3">
        <v>1.1778433663335532E-3</v>
      </c>
      <c r="S22" s="3">
        <v>0.14889899969761081</v>
      </c>
      <c r="T22" s="3">
        <v>8.5669133179269427E-2</v>
      </c>
      <c r="U22" s="3">
        <v>3796.5141063768706</v>
      </c>
      <c r="V22" s="3">
        <v>2970.1292928445118</v>
      </c>
      <c r="W22" s="3">
        <v>3407.4661508946533</v>
      </c>
      <c r="X22">
        <v>12</v>
      </c>
    </row>
    <row r="23" spans="1:24" x14ac:dyDescent="0.2">
      <c r="A23">
        <v>2019</v>
      </c>
      <c r="B23">
        <v>3</v>
      </c>
      <c r="C23">
        <v>969.4</v>
      </c>
      <c r="D23">
        <f t="shared" si="0"/>
        <v>567099</v>
      </c>
      <c r="E23">
        <v>112637</v>
      </c>
      <c r="F23">
        <f t="shared" si="1"/>
        <v>38296.58</v>
      </c>
      <c r="G23">
        <v>128.9</v>
      </c>
      <c r="H23">
        <v>979.9</v>
      </c>
      <c r="I23">
        <v>33517</v>
      </c>
      <c r="J23" s="1">
        <v>392909</v>
      </c>
      <c r="K23" s="3">
        <v>0.89553540914333085</v>
      </c>
      <c r="L23">
        <v>596</v>
      </c>
      <c r="M23" s="1">
        <v>68.8</v>
      </c>
      <c r="N23">
        <v>4</v>
      </c>
      <c r="O23" s="3">
        <v>0.59833561466033158</v>
      </c>
      <c r="P23" s="3">
        <v>0.68941232152780074</v>
      </c>
      <c r="Q23" s="3">
        <v>0.29817702297499332</v>
      </c>
      <c r="R23" s="3">
        <v>1.1778433663335532E-3</v>
      </c>
      <c r="S23" s="3">
        <v>0.14889899969761081</v>
      </c>
      <c r="T23" s="3">
        <v>8.5669133179269427E-2</v>
      </c>
      <c r="U23" s="3">
        <v>3796.5141063768706</v>
      </c>
      <c r="V23" s="3">
        <v>2970.1292928445118</v>
      </c>
      <c r="W23" s="3">
        <v>3407.4661508946533</v>
      </c>
      <c r="X23">
        <v>12</v>
      </c>
    </row>
    <row r="24" spans="1:24" x14ac:dyDescent="0.2">
      <c r="A24">
        <v>2019</v>
      </c>
      <c r="B24">
        <v>2</v>
      </c>
      <c r="C24">
        <v>969.4</v>
      </c>
      <c r="D24">
        <f t="shared" si="0"/>
        <v>567099</v>
      </c>
      <c r="E24">
        <v>112637</v>
      </c>
      <c r="F24">
        <f t="shared" si="1"/>
        <v>38296.58</v>
      </c>
      <c r="G24">
        <v>128.9</v>
      </c>
      <c r="H24">
        <v>979.9</v>
      </c>
      <c r="I24">
        <v>33517</v>
      </c>
      <c r="J24" s="1">
        <v>392909</v>
      </c>
      <c r="K24" s="3">
        <v>0.89553540914333085</v>
      </c>
      <c r="L24">
        <v>596</v>
      </c>
      <c r="M24" s="1">
        <v>68.8</v>
      </c>
      <c r="N24">
        <v>4</v>
      </c>
      <c r="O24" s="3">
        <v>0.59833561466033158</v>
      </c>
      <c r="P24" s="3">
        <v>0.68941232152780074</v>
      </c>
      <c r="Q24" s="3">
        <v>0.29817702297499332</v>
      </c>
      <c r="R24" s="3">
        <v>1.1778433663335532E-3</v>
      </c>
      <c r="S24" s="3">
        <v>0.14889899969761081</v>
      </c>
      <c r="T24" s="3">
        <v>8.5669133179269427E-2</v>
      </c>
      <c r="U24" s="3">
        <v>3796.5141063768706</v>
      </c>
      <c r="V24" s="3">
        <v>2970.1292928445118</v>
      </c>
      <c r="W24" s="3">
        <v>3407.4661508946533</v>
      </c>
      <c r="X24">
        <v>12</v>
      </c>
    </row>
    <row r="25" spans="1:24" x14ac:dyDescent="0.2">
      <c r="A25">
        <v>2019</v>
      </c>
      <c r="B25">
        <v>1</v>
      </c>
      <c r="C25">
        <v>969.4</v>
      </c>
      <c r="D25">
        <f t="shared" si="0"/>
        <v>567099</v>
      </c>
      <c r="E25">
        <v>112637</v>
      </c>
      <c r="F25">
        <f t="shared" si="1"/>
        <v>38296.58</v>
      </c>
      <c r="G25">
        <v>128.9</v>
      </c>
      <c r="H25">
        <v>979.9</v>
      </c>
      <c r="I25">
        <v>33517</v>
      </c>
      <c r="J25" s="1">
        <v>392909</v>
      </c>
      <c r="K25" s="3">
        <v>0.89553540914333085</v>
      </c>
      <c r="L25">
        <v>596</v>
      </c>
      <c r="M25" s="1">
        <v>68.8</v>
      </c>
      <c r="N25">
        <v>4</v>
      </c>
      <c r="O25" s="3">
        <v>0.59833561466033158</v>
      </c>
      <c r="P25" s="3">
        <v>0.68941232152780074</v>
      </c>
      <c r="Q25" s="3">
        <v>0.29817702297499332</v>
      </c>
      <c r="R25" s="3">
        <v>1.1778433663335532E-3</v>
      </c>
      <c r="S25" s="3">
        <v>0.14889899969761081</v>
      </c>
      <c r="T25" s="3">
        <v>8.5669133179269427E-2</v>
      </c>
      <c r="U25" s="3">
        <v>3796.5141063768706</v>
      </c>
      <c r="V25" s="3">
        <v>2970.1292928445118</v>
      </c>
      <c r="W25" s="3">
        <v>3407.4661508946533</v>
      </c>
      <c r="X25">
        <v>12</v>
      </c>
    </row>
    <row r="26" spans="1:24" x14ac:dyDescent="0.2">
      <c r="A26">
        <v>2018</v>
      </c>
      <c r="B26">
        <v>4</v>
      </c>
      <c r="C26">
        <v>1024.5999999999999</v>
      </c>
      <c r="D26">
        <f t="shared" si="0"/>
        <v>599391</v>
      </c>
      <c r="E26">
        <v>106211</v>
      </c>
      <c r="F26">
        <f t="shared" si="1"/>
        <v>36111.74</v>
      </c>
      <c r="G26">
        <v>136</v>
      </c>
      <c r="H26">
        <v>1771.9</v>
      </c>
      <c r="I26">
        <v>28008</v>
      </c>
      <c r="J26" s="1">
        <v>262076.76</v>
      </c>
      <c r="K26" s="3">
        <v>0.88636363636363635</v>
      </c>
      <c r="L26">
        <v>588</v>
      </c>
      <c r="M26" s="1">
        <v>65.400000000000006</v>
      </c>
      <c r="N26">
        <v>7</v>
      </c>
      <c r="O26" s="3">
        <v>0.61983489852522855</v>
      </c>
      <c r="P26" s="3">
        <v>0.74458048007318101</v>
      </c>
      <c r="Q26" s="3">
        <v>0.28656911030707943</v>
      </c>
      <c r="R26" s="3">
        <v>2.3041544687562726E-3</v>
      </c>
      <c r="S26" s="3">
        <v>4.8245240498445197E-2</v>
      </c>
      <c r="T26" s="3">
        <v>9.0016131272129415E-2</v>
      </c>
      <c r="U26" s="3">
        <v>3922.7877463915365</v>
      </c>
      <c r="V26" s="3">
        <v>2961.42909916086</v>
      </c>
      <c r="W26" s="3">
        <v>3189.561245522747</v>
      </c>
      <c r="X26">
        <v>12</v>
      </c>
    </row>
    <row r="27" spans="1:24" x14ac:dyDescent="0.2">
      <c r="A27">
        <v>2018</v>
      </c>
      <c r="B27">
        <v>3</v>
      </c>
      <c r="C27">
        <v>1024.5999999999999</v>
      </c>
      <c r="D27">
        <f t="shared" si="0"/>
        <v>599391</v>
      </c>
      <c r="E27">
        <v>106211</v>
      </c>
      <c r="F27">
        <f t="shared" si="1"/>
        <v>36111.74</v>
      </c>
      <c r="G27">
        <v>136</v>
      </c>
      <c r="H27">
        <v>1771.9</v>
      </c>
      <c r="I27">
        <v>28008</v>
      </c>
      <c r="J27" s="1">
        <v>262076.76</v>
      </c>
      <c r="K27" s="3">
        <v>0.88636363636363635</v>
      </c>
      <c r="L27">
        <v>588</v>
      </c>
      <c r="M27" s="1">
        <v>65.400000000000006</v>
      </c>
      <c r="N27">
        <v>7</v>
      </c>
      <c r="O27" s="3">
        <v>0.61983489852522855</v>
      </c>
      <c r="P27" s="3">
        <v>0.74458048007318101</v>
      </c>
      <c r="Q27" s="3">
        <v>0.28656911030707943</v>
      </c>
      <c r="R27" s="3">
        <v>2.3041544687562726E-3</v>
      </c>
      <c r="S27" s="3">
        <v>4.8245240498445197E-2</v>
      </c>
      <c r="T27" s="3">
        <v>9.0016131272129415E-2</v>
      </c>
      <c r="U27" s="3">
        <v>3922.7877463915365</v>
      </c>
      <c r="V27" s="3">
        <v>2961.42909916086</v>
      </c>
      <c r="W27" s="3">
        <v>3189.561245522747</v>
      </c>
      <c r="X27">
        <v>12</v>
      </c>
    </row>
    <row r="28" spans="1:24" x14ac:dyDescent="0.2">
      <c r="A28">
        <v>2018</v>
      </c>
      <c r="B28">
        <v>2</v>
      </c>
      <c r="C28">
        <v>1024.5999999999999</v>
      </c>
      <c r="D28">
        <f t="shared" si="0"/>
        <v>599391</v>
      </c>
      <c r="E28">
        <v>106211</v>
      </c>
      <c r="F28">
        <f t="shared" si="1"/>
        <v>36111.74</v>
      </c>
      <c r="G28">
        <v>136</v>
      </c>
      <c r="H28">
        <v>1771.9</v>
      </c>
      <c r="I28">
        <v>28008</v>
      </c>
      <c r="J28" s="1">
        <v>262076.76</v>
      </c>
      <c r="K28" s="3">
        <v>0.88636363636363635</v>
      </c>
      <c r="L28">
        <v>588</v>
      </c>
      <c r="M28" s="1">
        <v>65.400000000000006</v>
      </c>
      <c r="N28">
        <v>7</v>
      </c>
      <c r="O28" s="3">
        <v>0.61983489852522855</v>
      </c>
      <c r="P28" s="3">
        <v>0.74458048007318101</v>
      </c>
      <c r="Q28" s="3">
        <v>0.28656911030707943</v>
      </c>
      <c r="R28" s="3">
        <v>2.3041544687562726E-3</v>
      </c>
      <c r="S28" s="3">
        <v>4.8245240498445197E-2</v>
      </c>
      <c r="T28" s="3">
        <v>9.0016131272129415E-2</v>
      </c>
      <c r="U28" s="3">
        <v>3922.7877463915365</v>
      </c>
      <c r="V28" s="3">
        <v>2961.42909916086</v>
      </c>
      <c r="W28" s="3">
        <v>3189.561245522747</v>
      </c>
      <c r="X28">
        <v>12</v>
      </c>
    </row>
    <row r="29" spans="1:24" x14ac:dyDescent="0.2">
      <c r="A29">
        <v>2018</v>
      </c>
      <c r="B29">
        <v>1</v>
      </c>
      <c r="C29">
        <v>1024.5999999999999</v>
      </c>
      <c r="D29">
        <f t="shared" si="0"/>
        <v>599391</v>
      </c>
      <c r="E29">
        <v>106211</v>
      </c>
      <c r="F29">
        <f t="shared" si="1"/>
        <v>36111.74</v>
      </c>
      <c r="G29">
        <v>136</v>
      </c>
      <c r="H29">
        <v>1771.9</v>
      </c>
      <c r="I29">
        <v>28008</v>
      </c>
      <c r="J29" s="1">
        <v>262076.76</v>
      </c>
      <c r="K29" s="3">
        <v>0.88636363636363635</v>
      </c>
      <c r="L29">
        <v>588</v>
      </c>
      <c r="M29" s="1">
        <v>65.400000000000006</v>
      </c>
      <c r="N29">
        <v>7</v>
      </c>
      <c r="O29" s="3">
        <v>0.61983489852522855</v>
      </c>
      <c r="P29" s="3">
        <v>0.74458048007318101</v>
      </c>
      <c r="Q29" s="3">
        <v>0.28656911030707943</v>
      </c>
      <c r="R29" s="3">
        <v>2.3041544687562726E-3</v>
      </c>
      <c r="S29" s="3">
        <v>4.8245240498445197E-2</v>
      </c>
      <c r="T29" s="3">
        <v>9.0016131272129415E-2</v>
      </c>
      <c r="U29" s="3">
        <v>3922.7877463915365</v>
      </c>
      <c r="V29" s="3">
        <v>2961.42909916086</v>
      </c>
      <c r="W29" s="3">
        <v>3189.561245522747</v>
      </c>
      <c r="X29">
        <v>12</v>
      </c>
    </row>
    <row r="30" spans="1:24" x14ac:dyDescent="0.2">
      <c r="A30">
        <v>2017</v>
      </c>
      <c r="B30">
        <v>4</v>
      </c>
      <c r="C30">
        <v>1051.0999999999999</v>
      </c>
      <c r="D30">
        <f t="shared" si="0"/>
        <v>614893.49999999988</v>
      </c>
      <c r="E30">
        <v>99691</v>
      </c>
      <c r="F30">
        <f t="shared" si="1"/>
        <v>33894.939999999995</v>
      </c>
      <c r="G30">
        <v>129.5</v>
      </c>
      <c r="H30">
        <v>1869</v>
      </c>
      <c r="I30">
        <v>26391</v>
      </c>
      <c r="J30" s="1">
        <v>445845.28496397607</v>
      </c>
      <c r="K30" s="3">
        <v>0.88303785908272592</v>
      </c>
      <c r="L30">
        <v>578</v>
      </c>
      <c r="M30" s="1">
        <v>64.709999999999994</v>
      </c>
      <c r="N30">
        <v>6</v>
      </c>
      <c r="O30" s="3">
        <v>0.63923235401651146</v>
      </c>
      <c r="P30" s="3">
        <v>0.81410000000000005</v>
      </c>
      <c r="Q30" s="3">
        <v>0.38841898661380914</v>
      </c>
      <c r="R30" s="3">
        <v>4.4430805935517939E-3</v>
      </c>
      <c r="S30" s="3">
        <v>1.1374358589128469E-2</v>
      </c>
      <c r="T30" s="3">
        <v>0.11643898354610835</v>
      </c>
      <c r="U30" s="3">
        <v>4319.0817855641417</v>
      </c>
      <c r="V30" s="3">
        <v>5510.0921358059577</v>
      </c>
      <c r="W30" s="3">
        <v>3126.4668147296156</v>
      </c>
      <c r="X30">
        <v>12</v>
      </c>
    </row>
    <row r="31" spans="1:24" x14ac:dyDescent="0.2">
      <c r="A31">
        <v>2017</v>
      </c>
      <c r="B31">
        <v>3</v>
      </c>
      <c r="C31">
        <v>1051.0999999999999</v>
      </c>
      <c r="D31">
        <f t="shared" si="0"/>
        <v>614893.49999999988</v>
      </c>
      <c r="E31">
        <v>99691</v>
      </c>
      <c r="F31">
        <f t="shared" si="1"/>
        <v>33894.939999999995</v>
      </c>
      <c r="G31">
        <v>129.5</v>
      </c>
      <c r="H31">
        <v>1869</v>
      </c>
      <c r="I31">
        <v>26391</v>
      </c>
      <c r="J31" s="1">
        <v>445845.28496397607</v>
      </c>
      <c r="K31" s="3">
        <v>0.88303785908272592</v>
      </c>
      <c r="L31">
        <v>578</v>
      </c>
      <c r="M31" s="1">
        <v>64.709999999999994</v>
      </c>
      <c r="N31">
        <v>6</v>
      </c>
      <c r="O31" s="3">
        <v>0.63923235401651146</v>
      </c>
      <c r="P31" s="3">
        <v>0.81410000000000005</v>
      </c>
      <c r="Q31" s="3">
        <v>0.38841898661380914</v>
      </c>
      <c r="R31" s="3">
        <v>4.4430805935517939E-3</v>
      </c>
      <c r="S31" s="3">
        <v>1.1374358589128469E-2</v>
      </c>
      <c r="T31" s="3">
        <v>0.11643898354610835</v>
      </c>
      <c r="U31" s="3">
        <v>4319.0817855641417</v>
      </c>
      <c r="V31" s="3">
        <v>5510.0921358059577</v>
      </c>
      <c r="W31" s="3">
        <v>3126.4668147296156</v>
      </c>
      <c r="X31">
        <v>12</v>
      </c>
    </row>
    <row r="32" spans="1:24" x14ac:dyDescent="0.2">
      <c r="A32">
        <v>2017</v>
      </c>
      <c r="B32">
        <v>2</v>
      </c>
      <c r="C32">
        <v>1051.0999999999999</v>
      </c>
      <c r="D32">
        <f t="shared" si="0"/>
        <v>614893.49999999988</v>
      </c>
      <c r="E32">
        <v>99691</v>
      </c>
      <c r="F32">
        <f t="shared" si="1"/>
        <v>33894.939999999995</v>
      </c>
      <c r="G32">
        <v>129.5</v>
      </c>
      <c r="H32">
        <v>1869</v>
      </c>
      <c r="I32">
        <v>26391</v>
      </c>
      <c r="J32" s="1">
        <v>445845.28496397607</v>
      </c>
      <c r="K32" s="3">
        <v>0.88303785908272592</v>
      </c>
      <c r="L32">
        <v>578</v>
      </c>
      <c r="M32" s="1">
        <v>64.709999999999994</v>
      </c>
      <c r="N32">
        <v>6</v>
      </c>
      <c r="O32" s="3">
        <v>0.63923235401651146</v>
      </c>
      <c r="P32" s="3">
        <v>0.81410000000000005</v>
      </c>
      <c r="Q32" s="3">
        <v>0.38841898661380914</v>
      </c>
      <c r="R32" s="3">
        <v>4.4430805935517939E-3</v>
      </c>
      <c r="S32" s="3">
        <v>1.1374358589128469E-2</v>
      </c>
      <c r="T32" s="3">
        <v>0.11643898354610835</v>
      </c>
      <c r="U32" s="3">
        <v>4319.0817855641417</v>
      </c>
      <c r="V32" s="3">
        <v>5510.0921358059577</v>
      </c>
      <c r="W32" s="3">
        <v>3126.4668147296156</v>
      </c>
      <c r="X32">
        <v>12</v>
      </c>
    </row>
    <row r="33" spans="1:24" x14ac:dyDescent="0.2">
      <c r="A33">
        <v>2017</v>
      </c>
      <c r="B33">
        <v>1</v>
      </c>
      <c r="C33">
        <v>1051.0999999999999</v>
      </c>
      <c r="D33">
        <f t="shared" si="0"/>
        <v>614893.49999999988</v>
      </c>
      <c r="E33">
        <v>99691</v>
      </c>
      <c r="F33">
        <f t="shared" si="1"/>
        <v>33894.939999999995</v>
      </c>
      <c r="G33">
        <v>129.5</v>
      </c>
      <c r="H33">
        <v>1869</v>
      </c>
      <c r="I33">
        <v>26391</v>
      </c>
      <c r="J33" s="1">
        <v>445845.28496397607</v>
      </c>
      <c r="K33" s="3">
        <v>0.88303785908272592</v>
      </c>
      <c r="L33">
        <v>578</v>
      </c>
      <c r="M33" s="1">
        <v>64.709999999999994</v>
      </c>
      <c r="N33">
        <v>6</v>
      </c>
      <c r="O33" s="3">
        <v>0.63923235401651146</v>
      </c>
      <c r="P33" s="3">
        <v>0.81410000000000005</v>
      </c>
      <c r="Q33" s="3">
        <v>0.38841898661380914</v>
      </c>
      <c r="R33" s="3">
        <v>4.4430805935517939E-3</v>
      </c>
      <c r="S33" s="3">
        <v>1.1374358589128469E-2</v>
      </c>
      <c r="T33" s="3">
        <v>0.11643898354610835</v>
      </c>
      <c r="U33" s="3">
        <v>4319.0817855641417</v>
      </c>
      <c r="V33" s="3">
        <v>5510.0921358059577</v>
      </c>
      <c r="W33" s="3">
        <v>3126.4668147296156</v>
      </c>
      <c r="X33">
        <v>12</v>
      </c>
    </row>
    <row r="34" spans="1:24" x14ac:dyDescent="0.2">
      <c r="A34">
        <v>2016</v>
      </c>
      <c r="B34">
        <v>4</v>
      </c>
      <c r="C34">
        <v>1109.5999999999999</v>
      </c>
      <c r="D34">
        <f t="shared" si="0"/>
        <v>649116</v>
      </c>
      <c r="E34">
        <v>96652</v>
      </c>
      <c r="F34">
        <f t="shared" si="1"/>
        <v>32861.68</v>
      </c>
      <c r="G34">
        <v>135.69999999999999</v>
      </c>
      <c r="H34">
        <v>1809.9</v>
      </c>
      <c r="I34">
        <v>26037</v>
      </c>
      <c r="J34" s="1">
        <v>235762.76994061098</v>
      </c>
      <c r="K34" s="3">
        <v>0.87953780365753798</v>
      </c>
      <c r="L34">
        <v>578</v>
      </c>
      <c r="M34" s="1">
        <v>60.74</v>
      </c>
      <c r="N34">
        <v>12</v>
      </c>
      <c r="O34" s="3">
        <v>0.68205315198783423</v>
      </c>
      <c r="P34" s="3">
        <v>0.84718178497304597</v>
      </c>
      <c r="Q34" s="3">
        <v>0.43589165135248298</v>
      </c>
      <c r="R34" s="3">
        <v>4.7558492208555998E-3</v>
      </c>
      <c r="S34" s="3">
        <v>4.7479684780309103E-2</v>
      </c>
      <c r="T34" s="3">
        <v>0.12875478846338165</v>
      </c>
      <c r="U34" s="3">
        <v>4377.0306512139759</v>
      </c>
      <c r="V34" s="3">
        <v>3014.34737668144</v>
      </c>
      <c r="W34" s="3">
        <v>3097.0582295792588</v>
      </c>
      <c r="X34">
        <v>12</v>
      </c>
    </row>
    <row r="35" spans="1:24" x14ac:dyDescent="0.2">
      <c r="A35">
        <v>2016</v>
      </c>
      <c r="B35">
        <v>3</v>
      </c>
      <c r="C35">
        <v>1109.5999999999999</v>
      </c>
      <c r="D35">
        <f t="shared" si="0"/>
        <v>649116</v>
      </c>
      <c r="E35">
        <v>96652</v>
      </c>
      <c r="F35">
        <f t="shared" si="1"/>
        <v>32861.68</v>
      </c>
      <c r="G35">
        <v>135.69999999999999</v>
      </c>
      <c r="H35">
        <v>1809.9</v>
      </c>
      <c r="I35">
        <v>26037</v>
      </c>
      <c r="J35" s="1">
        <v>235762.76994061098</v>
      </c>
      <c r="K35" s="3">
        <v>0.87953780365753798</v>
      </c>
      <c r="L35">
        <v>578</v>
      </c>
      <c r="M35" s="1">
        <v>60.74</v>
      </c>
      <c r="N35">
        <v>12</v>
      </c>
      <c r="O35" s="3">
        <v>0.68205315198783423</v>
      </c>
      <c r="P35" s="3">
        <v>0.84718178497304597</v>
      </c>
      <c r="Q35" s="3">
        <v>0.43589165135248298</v>
      </c>
      <c r="R35" s="3">
        <v>4.7558492208555998E-3</v>
      </c>
      <c r="S35" s="3">
        <v>4.7479684780309103E-2</v>
      </c>
      <c r="T35" s="3">
        <v>0.12875478846338165</v>
      </c>
      <c r="U35" s="3">
        <v>4377.0306512139759</v>
      </c>
      <c r="V35" s="3">
        <v>3014.34737668144</v>
      </c>
      <c r="W35" s="3">
        <v>3097.0582295792588</v>
      </c>
      <c r="X35">
        <v>12</v>
      </c>
    </row>
    <row r="36" spans="1:24" x14ac:dyDescent="0.2">
      <c r="A36">
        <v>2016</v>
      </c>
      <c r="B36">
        <v>2</v>
      </c>
      <c r="C36">
        <v>1109.5999999999999</v>
      </c>
      <c r="D36">
        <f t="shared" si="0"/>
        <v>649116</v>
      </c>
      <c r="E36">
        <v>96652</v>
      </c>
      <c r="F36">
        <f t="shared" si="1"/>
        <v>32861.68</v>
      </c>
      <c r="G36">
        <v>135.69999999999999</v>
      </c>
      <c r="H36">
        <v>1809.9</v>
      </c>
      <c r="I36">
        <v>26037</v>
      </c>
      <c r="J36" s="1">
        <v>235762.76994061098</v>
      </c>
      <c r="K36" s="3">
        <v>0.87953780365753798</v>
      </c>
      <c r="L36">
        <v>578</v>
      </c>
      <c r="M36" s="1">
        <v>60.74</v>
      </c>
      <c r="N36">
        <v>12</v>
      </c>
      <c r="O36" s="3">
        <v>0.68205315198783423</v>
      </c>
      <c r="P36" s="3">
        <v>0.84718178497304597</v>
      </c>
      <c r="Q36" s="3">
        <v>0.43589165135248298</v>
      </c>
      <c r="R36" s="3">
        <v>4.7558492208555998E-3</v>
      </c>
      <c r="S36" s="3">
        <v>4.7479684780309103E-2</v>
      </c>
      <c r="T36" s="3">
        <v>0.12875478846338165</v>
      </c>
      <c r="U36" s="3">
        <v>4377.0306512139759</v>
      </c>
      <c r="V36" s="3">
        <v>3014.34737668144</v>
      </c>
      <c r="W36" s="3">
        <v>3097.0582295792588</v>
      </c>
      <c r="X36">
        <v>12</v>
      </c>
    </row>
    <row r="37" spans="1:24" x14ac:dyDescent="0.2">
      <c r="A37">
        <v>2016</v>
      </c>
      <c r="B37">
        <v>1</v>
      </c>
      <c r="C37">
        <v>1109.5999999999999</v>
      </c>
      <c r="D37">
        <f t="shared" si="0"/>
        <v>649116</v>
      </c>
      <c r="E37">
        <v>96652</v>
      </c>
      <c r="F37">
        <f t="shared" si="1"/>
        <v>32861.68</v>
      </c>
      <c r="G37">
        <v>135.69999999999999</v>
      </c>
      <c r="H37">
        <v>1809.9</v>
      </c>
      <c r="I37">
        <v>26037</v>
      </c>
      <c r="J37" s="1">
        <v>235762.76994061098</v>
      </c>
      <c r="K37" s="3">
        <v>0.87953780365753798</v>
      </c>
      <c r="L37">
        <v>578</v>
      </c>
      <c r="M37" s="1">
        <v>60.74</v>
      </c>
      <c r="N37">
        <v>12</v>
      </c>
      <c r="O37" s="3">
        <v>0.68205315198783423</v>
      </c>
      <c r="P37" s="3">
        <v>0.84718178497304597</v>
      </c>
      <c r="Q37" s="3">
        <v>0.43589165135248298</v>
      </c>
      <c r="R37" s="3">
        <v>4.7558492208555998E-3</v>
      </c>
      <c r="S37" s="3">
        <v>4.7479684780309103E-2</v>
      </c>
      <c r="T37" s="3">
        <v>0.12875478846338165</v>
      </c>
      <c r="U37" s="3">
        <v>4377.0306512139759</v>
      </c>
      <c r="V37" s="3">
        <v>3014.34737668144</v>
      </c>
      <c r="W37" s="3">
        <v>3097.0582295792588</v>
      </c>
      <c r="X37">
        <v>12</v>
      </c>
    </row>
    <row r="38" spans="1:24" x14ac:dyDescent="0.2">
      <c r="A38">
        <v>2015</v>
      </c>
      <c r="B38">
        <v>4</v>
      </c>
      <c r="C38">
        <v>1169.5</v>
      </c>
      <c r="D38">
        <f t="shared" si="0"/>
        <v>684157.5</v>
      </c>
      <c r="E38">
        <v>90106</v>
      </c>
      <c r="F38">
        <f t="shared" si="1"/>
        <v>30636.039999999997</v>
      </c>
      <c r="G38">
        <v>141.9</v>
      </c>
      <c r="H38">
        <v>1548.3</v>
      </c>
      <c r="I38">
        <v>23194</v>
      </c>
      <c r="J38" s="1">
        <v>376616.66840621398</v>
      </c>
      <c r="K38" s="3">
        <v>0.86814012684395592</v>
      </c>
      <c r="L38">
        <v>562</v>
      </c>
      <c r="M38" s="1">
        <v>59</v>
      </c>
      <c r="N38">
        <v>6</v>
      </c>
      <c r="O38" s="3">
        <v>0.72469234816129446</v>
      </c>
      <c r="P38" s="3">
        <v>0.65369043768626167</v>
      </c>
      <c r="Q38" s="3">
        <v>0.25978142836157142</v>
      </c>
      <c r="R38" s="3">
        <v>2.2103498104461858E-3</v>
      </c>
      <c r="S38" s="3">
        <v>3.3452938188886748E-2</v>
      </c>
      <c r="T38" s="3">
        <v>8.5821712447586074E-2</v>
      </c>
      <c r="U38" s="3">
        <v>4313.338252919928</v>
      </c>
      <c r="V38" s="3">
        <v>3559.1396827788135</v>
      </c>
      <c r="W38" s="3">
        <v>3509.9755779695106</v>
      </c>
      <c r="X38">
        <v>12</v>
      </c>
    </row>
    <row r="39" spans="1:24" x14ac:dyDescent="0.2">
      <c r="A39">
        <v>2015</v>
      </c>
      <c r="B39">
        <v>3</v>
      </c>
      <c r="C39">
        <v>1169.5</v>
      </c>
      <c r="D39">
        <f t="shared" si="0"/>
        <v>684157.5</v>
      </c>
      <c r="E39">
        <v>90106</v>
      </c>
      <c r="F39">
        <f t="shared" si="1"/>
        <v>30636.039999999997</v>
      </c>
      <c r="G39">
        <v>141.9</v>
      </c>
      <c r="H39">
        <v>1548.3</v>
      </c>
      <c r="I39">
        <v>23194</v>
      </c>
      <c r="J39" s="1">
        <v>376616.66840621398</v>
      </c>
      <c r="K39" s="3">
        <v>0.86814012684395592</v>
      </c>
      <c r="L39">
        <v>562</v>
      </c>
      <c r="M39" s="1">
        <v>59</v>
      </c>
      <c r="N39">
        <v>6</v>
      </c>
      <c r="O39" s="3">
        <v>0.72469234816129446</v>
      </c>
      <c r="P39" s="3">
        <v>0.65369043768626167</v>
      </c>
      <c r="Q39" s="3">
        <v>0.25978142836157142</v>
      </c>
      <c r="R39" s="3">
        <v>2.2103498104461858E-3</v>
      </c>
      <c r="S39" s="3">
        <v>3.3452938188886748E-2</v>
      </c>
      <c r="T39" s="3">
        <v>8.5821712447586074E-2</v>
      </c>
      <c r="U39" s="3">
        <v>4313.338252919928</v>
      </c>
      <c r="V39" s="3">
        <v>3559.1396827788135</v>
      </c>
      <c r="W39" s="3">
        <v>3509.9755779695106</v>
      </c>
      <c r="X39">
        <v>12</v>
      </c>
    </row>
    <row r="40" spans="1:24" x14ac:dyDescent="0.2">
      <c r="A40">
        <v>2015</v>
      </c>
      <c r="B40">
        <v>2</v>
      </c>
      <c r="C40">
        <v>1169.5</v>
      </c>
      <c r="D40">
        <f t="shared" si="0"/>
        <v>684157.5</v>
      </c>
      <c r="E40">
        <v>90106</v>
      </c>
      <c r="F40">
        <f t="shared" si="1"/>
        <v>30636.039999999997</v>
      </c>
      <c r="G40">
        <v>141.9</v>
      </c>
      <c r="H40">
        <v>1548.3</v>
      </c>
      <c r="I40">
        <v>23194</v>
      </c>
      <c r="J40" s="1">
        <v>376616.66840621398</v>
      </c>
      <c r="K40" s="3">
        <v>0.86814012684395592</v>
      </c>
      <c r="L40">
        <v>562</v>
      </c>
      <c r="M40" s="1">
        <v>59</v>
      </c>
      <c r="N40">
        <v>6</v>
      </c>
      <c r="O40" s="3">
        <v>0.72469234816129446</v>
      </c>
      <c r="P40" s="3">
        <v>0.65369043768626167</v>
      </c>
      <c r="Q40" s="3">
        <v>0.25978142836157142</v>
      </c>
      <c r="R40" s="3">
        <v>2.2103498104461858E-3</v>
      </c>
      <c r="S40" s="3">
        <v>3.3452938188886748E-2</v>
      </c>
      <c r="T40" s="3">
        <v>8.5821712447586074E-2</v>
      </c>
      <c r="U40" s="3">
        <v>4313.338252919928</v>
      </c>
      <c r="V40" s="3">
        <v>3559.1396827788135</v>
      </c>
      <c r="W40" s="3">
        <v>3509.9755779695106</v>
      </c>
      <c r="X40">
        <v>12</v>
      </c>
    </row>
    <row r="41" spans="1:24" x14ac:dyDescent="0.2">
      <c r="A41">
        <v>2015</v>
      </c>
      <c r="B41">
        <v>1</v>
      </c>
      <c r="C41">
        <v>1169.5</v>
      </c>
      <c r="D41">
        <f t="shared" si="0"/>
        <v>684157.5</v>
      </c>
      <c r="E41">
        <v>90106</v>
      </c>
      <c r="F41">
        <f t="shared" si="1"/>
        <v>30636.039999999997</v>
      </c>
      <c r="G41">
        <v>141.9</v>
      </c>
      <c r="H41">
        <v>1548.3</v>
      </c>
      <c r="I41">
        <v>23194</v>
      </c>
      <c r="J41" s="1">
        <v>376616.66840621398</v>
      </c>
      <c r="K41" s="3">
        <v>0.86814012684395592</v>
      </c>
      <c r="L41">
        <v>562</v>
      </c>
      <c r="M41" s="1">
        <v>59</v>
      </c>
      <c r="N41">
        <v>6</v>
      </c>
      <c r="O41" s="3">
        <v>0.72469234816129446</v>
      </c>
      <c r="P41" s="3">
        <v>0.65369043768626167</v>
      </c>
      <c r="Q41" s="3">
        <v>0.25978142836157142</v>
      </c>
      <c r="R41" s="3">
        <v>2.2103498104461858E-3</v>
      </c>
      <c r="S41" s="3">
        <v>3.3452938188886748E-2</v>
      </c>
      <c r="T41" s="3">
        <v>8.5821712447586074E-2</v>
      </c>
      <c r="U41" s="3">
        <v>4313.338252919928</v>
      </c>
      <c r="V41" s="3">
        <v>3559.1396827788135</v>
      </c>
      <c r="W41" s="3">
        <v>3509.9755779695106</v>
      </c>
      <c r="X41">
        <v>12</v>
      </c>
    </row>
    <row r="42" spans="1:24" x14ac:dyDescent="0.2">
      <c r="A42">
        <v>2014</v>
      </c>
      <c r="B42">
        <v>4</v>
      </c>
      <c r="C42">
        <v>1175.5</v>
      </c>
      <c r="D42">
        <f t="shared" si="0"/>
        <v>687667.5</v>
      </c>
      <c r="E42">
        <v>86575</v>
      </c>
      <c r="F42">
        <f t="shared" si="1"/>
        <v>29435.5</v>
      </c>
      <c r="G42">
        <v>140.5</v>
      </c>
      <c r="H42">
        <v>1410.5</v>
      </c>
      <c r="I42">
        <v>22406</v>
      </c>
      <c r="J42" s="1">
        <v>188887.6184444972</v>
      </c>
      <c r="K42" s="3">
        <v>0.85633029322349707</v>
      </c>
      <c r="L42">
        <v>529</v>
      </c>
      <c r="M42" s="1">
        <v>58.89</v>
      </c>
      <c r="N42">
        <v>3</v>
      </c>
      <c r="O42" s="3">
        <v>0.72896338617533052</v>
      </c>
      <c r="P42" s="3">
        <v>0.55870420473011073</v>
      </c>
      <c r="Q42" s="3">
        <v>0.1647852173348516</v>
      </c>
      <c r="R42" s="3">
        <v>7.3421994346913315E-4</v>
      </c>
      <c r="S42" s="3">
        <v>2.6567111830072924E-2</v>
      </c>
      <c r="T42" s="3">
        <v>6.2663036704876898E-2</v>
      </c>
      <c r="U42" s="3">
        <v>4276.4031622902576</v>
      </c>
      <c r="V42" s="3">
        <v>3826.5819721902644</v>
      </c>
      <c r="W42" s="3">
        <v>3732.7087214412459</v>
      </c>
      <c r="X42">
        <v>12</v>
      </c>
    </row>
    <row r="43" spans="1:24" x14ac:dyDescent="0.2">
      <c r="A43">
        <v>2014</v>
      </c>
      <c r="B43">
        <v>3</v>
      </c>
      <c r="C43">
        <v>1175.5</v>
      </c>
      <c r="D43">
        <f t="shared" si="0"/>
        <v>687667.5</v>
      </c>
      <c r="E43">
        <v>86575</v>
      </c>
      <c r="F43">
        <f t="shared" si="1"/>
        <v>29435.5</v>
      </c>
      <c r="G43">
        <v>140.5</v>
      </c>
      <c r="H43">
        <v>1410.5</v>
      </c>
      <c r="I43">
        <v>22406</v>
      </c>
      <c r="J43" s="1">
        <v>188887.6184444972</v>
      </c>
      <c r="K43" s="3">
        <v>0.85633029322349707</v>
      </c>
      <c r="L43">
        <v>529</v>
      </c>
      <c r="M43" s="1">
        <v>58.89</v>
      </c>
      <c r="N43">
        <v>3</v>
      </c>
      <c r="O43" s="3">
        <v>0.72896338617533052</v>
      </c>
      <c r="P43" s="3">
        <v>0.55870420473011073</v>
      </c>
      <c r="Q43" s="3">
        <v>0.1647852173348516</v>
      </c>
      <c r="R43" s="3">
        <v>7.3421994346913315E-4</v>
      </c>
      <c r="S43" s="3">
        <v>2.6567111830072924E-2</v>
      </c>
      <c r="T43" s="3">
        <v>6.2663036704876898E-2</v>
      </c>
      <c r="U43" s="3">
        <v>4276.4031622902576</v>
      </c>
      <c r="V43" s="3">
        <v>3826.5819721902644</v>
      </c>
      <c r="W43" s="3">
        <v>3732.7087214412459</v>
      </c>
      <c r="X43">
        <v>12</v>
      </c>
    </row>
    <row r="44" spans="1:24" x14ac:dyDescent="0.2">
      <c r="A44">
        <v>2014</v>
      </c>
      <c r="B44">
        <v>2</v>
      </c>
      <c r="C44">
        <v>1175.5</v>
      </c>
      <c r="D44">
        <f t="shared" si="0"/>
        <v>687667.5</v>
      </c>
      <c r="E44">
        <v>86575</v>
      </c>
      <c r="F44">
        <f t="shared" si="1"/>
        <v>29435.5</v>
      </c>
      <c r="G44">
        <v>140.5</v>
      </c>
      <c r="H44">
        <v>1410.5</v>
      </c>
      <c r="I44">
        <v>22406</v>
      </c>
      <c r="J44" s="1">
        <v>188887.6184444972</v>
      </c>
      <c r="K44" s="3">
        <v>0.85633029322349707</v>
      </c>
      <c r="L44">
        <v>529</v>
      </c>
      <c r="M44" s="1">
        <v>58.89</v>
      </c>
      <c r="N44">
        <v>3</v>
      </c>
      <c r="O44" s="3">
        <v>0.72896338617533052</v>
      </c>
      <c r="P44" s="3">
        <v>0.55870420473011073</v>
      </c>
      <c r="Q44" s="3">
        <v>0.1647852173348516</v>
      </c>
      <c r="R44" s="3">
        <v>7.3421994346913315E-4</v>
      </c>
      <c r="S44" s="3">
        <v>2.6567111830072924E-2</v>
      </c>
      <c r="T44" s="3">
        <v>6.2663036704876898E-2</v>
      </c>
      <c r="U44" s="3">
        <v>4276.4031622902576</v>
      </c>
      <c r="V44" s="3">
        <v>3826.5819721902644</v>
      </c>
      <c r="W44" s="3">
        <v>3732.7087214412459</v>
      </c>
      <c r="X44">
        <v>12</v>
      </c>
    </row>
    <row r="45" spans="1:24" x14ac:dyDescent="0.2">
      <c r="A45">
        <v>2014</v>
      </c>
      <c r="B45">
        <v>1</v>
      </c>
      <c r="C45">
        <v>1175.5</v>
      </c>
      <c r="D45">
        <f t="shared" si="0"/>
        <v>687667.5</v>
      </c>
      <c r="E45">
        <v>86575</v>
      </c>
      <c r="F45">
        <f t="shared" si="1"/>
        <v>29435.5</v>
      </c>
      <c r="G45">
        <v>140.5</v>
      </c>
      <c r="H45">
        <v>1410.5</v>
      </c>
      <c r="I45">
        <v>22406</v>
      </c>
      <c r="J45" s="1">
        <v>188887.6184444972</v>
      </c>
      <c r="K45" s="3">
        <v>0.85633029322349707</v>
      </c>
      <c r="L45">
        <v>529</v>
      </c>
      <c r="M45" s="1">
        <v>58.89</v>
      </c>
      <c r="N45">
        <v>3</v>
      </c>
      <c r="O45" s="3">
        <v>0.72896338617533052</v>
      </c>
      <c r="P45" s="3">
        <v>0.55870420473011073</v>
      </c>
      <c r="Q45" s="3">
        <v>0.1647852173348516</v>
      </c>
      <c r="R45" s="3">
        <v>7.3421994346913315E-4</v>
      </c>
      <c r="S45" s="3">
        <v>2.6567111830072924E-2</v>
      </c>
      <c r="T45" s="3">
        <v>6.2663036704876898E-2</v>
      </c>
      <c r="U45" s="3">
        <v>4276.4031622902576</v>
      </c>
      <c r="V45" s="3">
        <v>3826.5819721902644</v>
      </c>
      <c r="W45" s="3">
        <v>3732.7087214412459</v>
      </c>
      <c r="X45">
        <v>12</v>
      </c>
    </row>
    <row r="48" spans="1:24" x14ac:dyDescent="0.2">
      <c r="G48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E2F6-04BC-C04D-BD9E-FF722B990220}">
  <dimension ref="A1:M45"/>
  <sheetViews>
    <sheetView topLeftCell="I1" workbookViewId="0">
      <selection activeCell="K2" sqref="K2:K45"/>
    </sheetView>
  </sheetViews>
  <sheetFormatPr baseColWidth="10" defaultRowHeight="16" x14ac:dyDescent="0.2"/>
  <cols>
    <col min="1" max="1" width="7.33203125" bestFit="1" customWidth="1"/>
    <col min="2" max="2" width="10" bestFit="1" customWidth="1"/>
    <col min="3" max="3" width="27.6640625" customWidth="1"/>
    <col min="4" max="4" width="30.33203125" customWidth="1"/>
    <col min="5" max="5" width="16.5" customWidth="1"/>
    <col min="6" max="6" width="35.33203125" bestFit="1" customWidth="1"/>
    <col min="7" max="7" width="20.6640625" bestFit="1" customWidth="1"/>
    <col min="8" max="8" width="33.5" bestFit="1" customWidth="1"/>
    <col min="9" max="9" width="23.5" bestFit="1" customWidth="1"/>
    <col min="10" max="10" width="32.33203125" bestFit="1" customWidth="1"/>
    <col min="11" max="11" width="32.83203125" bestFit="1" customWidth="1"/>
    <col min="12" max="12" width="63.83203125" bestFit="1" customWidth="1"/>
    <col min="13" max="13" width="44" bestFit="1" customWidth="1"/>
  </cols>
  <sheetData>
    <row r="1" spans="1:13" x14ac:dyDescent="0.2">
      <c r="A1" t="s">
        <v>0</v>
      </c>
      <c r="B1" t="s">
        <v>1</v>
      </c>
      <c r="C1" t="s">
        <v>88</v>
      </c>
      <c r="D1" t="s">
        <v>90</v>
      </c>
      <c r="E1" t="s">
        <v>89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2024</v>
      </c>
      <c r="B2">
        <v>4</v>
      </c>
      <c r="C2">
        <v>108.79769405996281</v>
      </c>
      <c r="D2" s="4">
        <v>109.91439802009026</v>
      </c>
      <c r="E2" s="12">
        <v>0.10145750000000001</v>
      </c>
      <c r="F2">
        <v>7.7</v>
      </c>
      <c r="G2">
        <v>46</v>
      </c>
      <c r="H2">
        <v>99.4</v>
      </c>
      <c r="I2">
        <v>53.9</v>
      </c>
      <c r="J2">
        <v>28.389538885065381</v>
      </c>
      <c r="K2" s="5">
        <v>96.3</v>
      </c>
      <c r="L2">
        <v>1.5</v>
      </c>
      <c r="M2">
        <v>4533.9800000000005</v>
      </c>
    </row>
    <row r="3" spans="1:13" x14ac:dyDescent="0.2">
      <c r="A3">
        <v>2024</v>
      </c>
      <c r="B3">
        <v>3</v>
      </c>
      <c r="C3">
        <v>108.79769405996281</v>
      </c>
      <c r="D3" s="4">
        <v>109.91439802009026</v>
      </c>
      <c r="E3" s="12">
        <v>0.10145750000000001</v>
      </c>
      <c r="F3">
        <v>7.7</v>
      </c>
      <c r="G3">
        <v>46</v>
      </c>
      <c r="H3">
        <v>99.4</v>
      </c>
      <c r="I3">
        <v>53.9</v>
      </c>
      <c r="J3">
        <v>28.389538885065381</v>
      </c>
      <c r="K3" s="5">
        <v>96.3</v>
      </c>
      <c r="L3">
        <v>1.5</v>
      </c>
      <c r="M3">
        <v>4533.9800000000005</v>
      </c>
    </row>
    <row r="4" spans="1:13" x14ac:dyDescent="0.2">
      <c r="A4">
        <v>2024</v>
      </c>
      <c r="B4">
        <v>2</v>
      </c>
      <c r="C4">
        <v>108.79769405996281</v>
      </c>
      <c r="D4" s="4">
        <v>109.91439802009026</v>
      </c>
      <c r="E4" s="12">
        <v>0.10145750000000001</v>
      </c>
      <c r="F4">
        <v>7.7</v>
      </c>
      <c r="G4">
        <v>46</v>
      </c>
      <c r="H4">
        <v>99.4</v>
      </c>
      <c r="I4">
        <v>53.9</v>
      </c>
      <c r="J4">
        <v>28.389538885065381</v>
      </c>
      <c r="K4" s="5">
        <v>96.3</v>
      </c>
      <c r="L4">
        <v>1.5</v>
      </c>
      <c r="M4">
        <v>4533.9800000000005</v>
      </c>
    </row>
    <row r="5" spans="1:13" x14ac:dyDescent="0.2">
      <c r="A5">
        <v>2024</v>
      </c>
      <c r="B5">
        <v>1</v>
      </c>
      <c r="C5">
        <v>108.79769405996281</v>
      </c>
      <c r="D5" s="4">
        <v>109.91439802009026</v>
      </c>
      <c r="E5" s="12">
        <v>0.10145750000000001</v>
      </c>
      <c r="F5">
        <v>7.7</v>
      </c>
      <c r="G5">
        <v>46</v>
      </c>
      <c r="H5">
        <v>99.4</v>
      </c>
      <c r="I5">
        <v>53.9</v>
      </c>
      <c r="J5">
        <v>28.389538885065381</v>
      </c>
      <c r="K5" s="5">
        <v>96.3</v>
      </c>
      <c r="L5">
        <v>1.5</v>
      </c>
      <c r="M5">
        <v>4533.9800000000005</v>
      </c>
    </row>
    <row r="6" spans="1:13" x14ac:dyDescent="0.2">
      <c r="A6">
        <v>2023</v>
      </c>
      <c r="B6">
        <v>4</v>
      </c>
      <c r="C6">
        <v>106.49847355756602</v>
      </c>
      <c r="D6" s="4">
        <v>106.94379573408064</v>
      </c>
      <c r="E6" s="12">
        <v>0.1028912</v>
      </c>
      <c r="F6">
        <v>7.1</v>
      </c>
      <c r="G6">
        <v>46</v>
      </c>
      <c r="H6">
        <v>99.4</v>
      </c>
      <c r="I6">
        <v>50.8</v>
      </c>
      <c r="J6">
        <v>25.200591585051995</v>
      </c>
      <c r="K6" s="5">
        <v>93</v>
      </c>
      <c r="L6">
        <v>1.7</v>
      </c>
      <c r="M6">
        <v>4481.3600000000006</v>
      </c>
    </row>
    <row r="7" spans="1:13" x14ac:dyDescent="0.2">
      <c r="A7">
        <v>2023</v>
      </c>
      <c r="B7">
        <v>3</v>
      </c>
      <c r="C7">
        <v>106.49847355756602</v>
      </c>
      <c r="D7" s="4">
        <v>106.94379573408064</v>
      </c>
      <c r="E7" s="12">
        <v>0.1028912</v>
      </c>
      <c r="F7">
        <v>7.1</v>
      </c>
      <c r="G7">
        <v>46</v>
      </c>
      <c r="H7">
        <v>99.4</v>
      </c>
      <c r="I7">
        <v>50.8</v>
      </c>
      <c r="J7">
        <v>25.200591585051995</v>
      </c>
      <c r="K7" s="5">
        <v>93</v>
      </c>
      <c r="L7">
        <v>1.7</v>
      </c>
      <c r="M7">
        <v>4481.3600000000006</v>
      </c>
    </row>
    <row r="8" spans="1:13" x14ac:dyDescent="0.2">
      <c r="A8">
        <v>2023</v>
      </c>
      <c r="B8">
        <v>2</v>
      </c>
      <c r="C8">
        <v>106.49847355756602</v>
      </c>
      <c r="D8" s="4">
        <v>106.94379573408064</v>
      </c>
      <c r="E8" s="12">
        <v>0.1028912</v>
      </c>
      <c r="F8">
        <v>7.1</v>
      </c>
      <c r="G8">
        <v>46</v>
      </c>
      <c r="H8">
        <v>99.4</v>
      </c>
      <c r="I8">
        <v>50.8</v>
      </c>
      <c r="J8">
        <v>25.200591585051995</v>
      </c>
      <c r="K8" s="5">
        <v>93</v>
      </c>
      <c r="L8">
        <v>1.7</v>
      </c>
      <c r="M8">
        <v>4481.3600000000006</v>
      </c>
    </row>
    <row r="9" spans="1:13" x14ac:dyDescent="0.2">
      <c r="A9">
        <v>2023</v>
      </c>
      <c r="B9">
        <v>1</v>
      </c>
      <c r="C9">
        <v>106.49847355756602</v>
      </c>
      <c r="D9" s="4">
        <v>106.94379573408064</v>
      </c>
      <c r="E9" s="12">
        <v>0.1028912</v>
      </c>
      <c r="F9">
        <v>7.1</v>
      </c>
      <c r="G9">
        <v>46</v>
      </c>
      <c r="H9">
        <v>99.4</v>
      </c>
      <c r="I9">
        <v>50.8</v>
      </c>
      <c r="J9">
        <v>25.200591585051995</v>
      </c>
      <c r="K9" s="5">
        <v>93</v>
      </c>
      <c r="L9">
        <v>1.7</v>
      </c>
      <c r="M9">
        <v>4481.3600000000006</v>
      </c>
    </row>
    <row r="10" spans="1:13" x14ac:dyDescent="0.2">
      <c r="A10">
        <v>2022</v>
      </c>
      <c r="B10">
        <v>4</v>
      </c>
      <c r="C10">
        <v>109.96907971324848</v>
      </c>
      <c r="D10" s="4">
        <v>107.01432855714761</v>
      </c>
      <c r="E10" s="12">
        <v>0.142707</v>
      </c>
      <c r="F10">
        <v>7.1</v>
      </c>
      <c r="G10">
        <v>46.3</v>
      </c>
      <c r="H10">
        <v>99.4</v>
      </c>
      <c r="I10">
        <v>50.3</v>
      </c>
      <c r="J10">
        <v>24.396315658451577</v>
      </c>
      <c r="K10" s="5">
        <v>91.7</v>
      </c>
      <c r="L10">
        <v>1.5</v>
      </c>
      <c r="M10">
        <v>4399.0200000000004</v>
      </c>
    </row>
    <row r="11" spans="1:13" x14ac:dyDescent="0.2">
      <c r="A11">
        <v>2022</v>
      </c>
      <c r="B11">
        <v>3</v>
      </c>
      <c r="C11">
        <v>109.96907971324848</v>
      </c>
      <c r="D11" s="4">
        <v>107.01432855714761</v>
      </c>
      <c r="E11" s="12">
        <v>0.142707</v>
      </c>
      <c r="F11">
        <v>7.1</v>
      </c>
      <c r="G11">
        <v>46.3</v>
      </c>
      <c r="H11">
        <v>99.4</v>
      </c>
      <c r="I11">
        <v>50.3</v>
      </c>
      <c r="J11">
        <v>24.396315658451577</v>
      </c>
      <c r="K11" s="5">
        <v>91.7</v>
      </c>
      <c r="L11">
        <v>1.5</v>
      </c>
      <c r="M11">
        <v>4399.0200000000004</v>
      </c>
    </row>
    <row r="12" spans="1:13" x14ac:dyDescent="0.2">
      <c r="A12">
        <v>2022</v>
      </c>
      <c r="B12">
        <v>2</v>
      </c>
      <c r="C12">
        <v>109.96907971324848</v>
      </c>
      <c r="D12" s="4">
        <v>107.01432855714761</v>
      </c>
      <c r="E12" s="12">
        <v>0.142707</v>
      </c>
      <c r="F12">
        <v>7.1</v>
      </c>
      <c r="G12">
        <v>46.3</v>
      </c>
      <c r="H12">
        <v>99.4</v>
      </c>
      <c r="I12">
        <v>50.3</v>
      </c>
      <c r="J12">
        <v>24.396315658451577</v>
      </c>
      <c r="K12" s="5">
        <v>91.7</v>
      </c>
      <c r="L12">
        <v>1.5</v>
      </c>
      <c r="M12">
        <v>4399.0200000000004</v>
      </c>
    </row>
    <row r="13" spans="1:13" x14ac:dyDescent="0.2">
      <c r="A13">
        <v>2022</v>
      </c>
      <c r="B13">
        <v>1</v>
      </c>
      <c r="C13">
        <v>109.96907971324848</v>
      </c>
      <c r="D13" s="4">
        <v>107.01432855714761</v>
      </c>
      <c r="E13" s="12">
        <v>0.142707</v>
      </c>
      <c r="F13">
        <v>7.1</v>
      </c>
      <c r="G13">
        <v>46.3</v>
      </c>
      <c r="H13">
        <v>99.4</v>
      </c>
      <c r="I13">
        <v>50.3</v>
      </c>
      <c r="J13">
        <v>24.396315658451577</v>
      </c>
      <c r="K13" s="5">
        <v>91.7</v>
      </c>
      <c r="L13">
        <v>1.5</v>
      </c>
      <c r="M13">
        <v>4399.0200000000004</v>
      </c>
    </row>
    <row r="14" spans="1:13" x14ac:dyDescent="0.2">
      <c r="A14">
        <v>2021</v>
      </c>
      <c r="B14">
        <v>4</v>
      </c>
      <c r="C14">
        <v>103.99617413355332</v>
      </c>
      <c r="D14" s="4">
        <v>96.728444802578565</v>
      </c>
      <c r="E14" s="12">
        <v>0.42353030000000003</v>
      </c>
      <c r="F14">
        <v>10.5</v>
      </c>
      <c r="G14">
        <v>46.4</v>
      </c>
      <c r="H14">
        <v>98.9</v>
      </c>
      <c r="I14">
        <v>50.3</v>
      </c>
      <c r="J14">
        <v>22.36279829068037</v>
      </c>
      <c r="K14" s="5">
        <v>89.7</v>
      </c>
      <c r="L14">
        <v>2</v>
      </c>
      <c r="M14">
        <v>4366.58</v>
      </c>
    </row>
    <row r="15" spans="1:13" x14ac:dyDescent="0.2">
      <c r="A15">
        <v>2021</v>
      </c>
      <c r="B15">
        <v>3</v>
      </c>
      <c r="C15">
        <v>103.99617413355332</v>
      </c>
      <c r="D15" s="4">
        <v>96.728444802578565</v>
      </c>
      <c r="E15" s="12">
        <v>0.42353030000000003</v>
      </c>
      <c r="F15">
        <v>10.5</v>
      </c>
      <c r="G15">
        <v>46.4</v>
      </c>
      <c r="H15">
        <v>98.9</v>
      </c>
      <c r="I15">
        <v>50.3</v>
      </c>
      <c r="J15">
        <v>22.36279829068037</v>
      </c>
      <c r="K15" s="5">
        <v>89.7</v>
      </c>
      <c r="L15">
        <v>2</v>
      </c>
      <c r="M15">
        <v>4366.58</v>
      </c>
    </row>
    <row r="16" spans="1:13" x14ac:dyDescent="0.2">
      <c r="A16">
        <v>2021</v>
      </c>
      <c r="B16">
        <v>2</v>
      </c>
      <c r="C16">
        <v>103.99617413355332</v>
      </c>
      <c r="D16" s="4">
        <v>96.728444802578565</v>
      </c>
      <c r="E16" s="12">
        <v>0.42353030000000003</v>
      </c>
      <c r="F16">
        <v>10.5</v>
      </c>
      <c r="G16">
        <v>46.4</v>
      </c>
      <c r="H16">
        <v>98.9</v>
      </c>
      <c r="I16">
        <v>50.3</v>
      </c>
      <c r="J16">
        <v>22.36279829068037</v>
      </c>
      <c r="K16" s="5">
        <v>89.7</v>
      </c>
      <c r="L16">
        <v>2</v>
      </c>
      <c r="M16">
        <v>4366.58</v>
      </c>
    </row>
    <row r="17" spans="1:13" x14ac:dyDescent="0.2">
      <c r="A17">
        <v>2021</v>
      </c>
      <c r="B17">
        <v>1</v>
      </c>
      <c r="C17">
        <v>103.99617413355332</v>
      </c>
      <c r="D17" s="4">
        <v>96.728444802578565</v>
      </c>
      <c r="E17" s="12">
        <v>0.42353030000000003</v>
      </c>
      <c r="F17">
        <v>10.5</v>
      </c>
      <c r="G17">
        <v>46.4</v>
      </c>
      <c r="H17">
        <v>98.9</v>
      </c>
      <c r="I17">
        <v>50.3</v>
      </c>
      <c r="J17">
        <v>22.36279829068037</v>
      </c>
      <c r="K17" s="5">
        <v>89.7</v>
      </c>
      <c r="L17">
        <v>2</v>
      </c>
      <c r="M17">
        <v>4366.58</v>
      </c>
    </row>
    <row r="18" spans="1:13" x14ac:dyDescent="0.2">
      <c r="A18">
        <v>2020</v>
      </c>
      <c r="B18">
        <v>4</v>
      </c>
      <c r="C18">
        <v>102.55561728601528</v>
      </c>
      <c r="D18" s="4">
        <v>96.907699515851945</v>
      </c>
      <c r="E18" s="13">
        <v>0.4904</v>
      </c>
      <c r="F18">
        <v>10.5</v>
      </c>
      <c r="G18">
        <v>45.9</v>
      </c>
      <c r="H18">
        <v>98.9</v>
      </c>
      <c r="I18">
        <v>48.5</v>
      </c>
      <c r="J18">
        <v>22.385254350330445</v>
      </c>
      <c r="K18" s="5">
        <v>87.7</v>
      </c>
      <c r="L18">
        <v>2</v>
      </c>
      <c r="M18">
        <v>4315.62</v>
      </c>
    </row>
    <row r="19" spans="1:13" x14ac:dyDescent="0.2">
      <c r="A19">
        <v>2020</v>
      </c>
      <c r="B19">
        <v>3</v>
      </c>
      <c r="C19">
        <v>102.55561728601528</v>
      </c>
      <c r="D19" s="4">
        <v>96.907699515851945</v>
      </c>
      <c r="E19" s="13">
        <v>0.4904</v>
      </c>
      <c r="F19">
        <v>10.5</v>
      </c>
      <c r="G19">
        <v>45.9</v>
      </c>
      <c r="H19">
        <v>98.9</v>
      </c>
      <c r="I19">
        <v>48.5</v>
      </c>
      <c r="J19">
        <v>22.385254350330445</v>
      </c>
      <c r="K19" s="5">
        <v>87.7</v>
      </c>
      <c r="L19">
        <v>2</v>
      </c>
      <c r="M19">
        <v>4315.62</v>
      </c>
    </row>
    <row r="20" spans="1:13" x14ac:dyDescent="0.2">
      <c r="A20">
        <v>2020</v>
      </c>
      <c r="B20">
        <v>2</v>
      </c>
      <c r="C20">
        <v>102.55561728601528</v>
      </c>
      <c r="D20" s="4">
        <v>96.907699515851945</v>
      </c>
      <c r="E20" s="13">
        <v>0.4904</v>
      </c>
      <c r="F20">
        <v>10.5</v>
      </c>
      <c r="G20">
        <v>45.9</v>
      </c>
      <c r="H20">
        <v>98.9</v>
      </c>
      <c r="I20">
        <v>48.5</v>
      </c>
      <c r="J20">
        <v>22.385254350330445</v>
      </c>
      <c r="K20" s="5">
        <v>87.7</v>
      </c>
      <c r="L20">
        <v>2</v>
      </c>
      <c r="M20">
        <v>4315.62</v>
      </c>
    </row>
    <row r="21" spans="1:13" x14ac:dyDescent="0.2">
      <c r="A21">
        <v>2020</v>
      </c>
      <c r="B21">
        <v>1</v>
      </c>
      <c r="C21">
        <v>102.55561728601528</v>
      </c>
      <c r="D21" s="4">
        <v>96.907699515851945</v>
      </c>
      <c r="E21" s="13">
        <v>0.4904</v>
      </c>
      <c r="F21">
        <v>10.5</v>
      </c>
      <c r="G21">
        <v>45.9</v>
      </c>
      <c r="H21">
        <v>98.9</v>
      </c>
      <c r="I21">
        <v>48.5</v>
      </c>
      <c r="J21">
        <v>22.385254350330445</v>
      </c>
      <c r="K21" s="5">
        <v>87.7</v>
      </c>
      <c r="L21">
        <v>2</v>
      </c>
      <c r="M21">
        <v>4315.62</v>
      </c>
    </row>
    <row r="22" spans="1:13" x14ac:dyDescent="0.2">
      <c r="A22">
        <v>2019</v>
      </c>
      <c r="B22">
        <v>4</v>
      </c>
      <c r="C22">
        <v>107.81293517373847</v>
      </c>
      <c r="D22" s="4">
        <v>105.76478361413942</v>
      </c>
      <c r="E22" s="13">
        <v>0.71</v>
      </c>
      <c r="F22">
        <v>11.6</v>
      </c>
      <c r="G22">
        <v>45.9</v>
      </c>
      <c r="H22">
        <v>99.2</v>
      </c>
      <c r="I22">
        <v>48.1</v>
      </c>
      <c r="J22">
        <v>22.226615105202686</v>
      </c>
      <c r="K22" s="5">
        <v>86.1</v>
      </c>
      <c r="L22">
        <v>2.2000000000000002</v>
      </c>
      <c r="M22">
        <v>4324.5</v>
      </c>
    </row>
    <row r="23" spans="1:13" x14ac:dyDescent="0.2">
      <c r="A23">
        <v>2019</v>
      </c>
      <c r="B23">
        <v>3</v>
      </c>
      <c r="C23">
        <v>107.81293517373847</v>
      </c>
      <c r="D23" s="4">
        <v>105.76478361413942</v>
      </c>
      <c r="E23" s="13">
        <v>0.71</v>
      </c>
      <c r="F23">
        <v>11.6</v>
      </c>
      <c r="G23">
        <v>45.9</v>
      </c>
      <c r="H23">
        <v>99.2</v>
      </c>
      <c r="I23">
        <v>48.1</v>
      </c>
      <c r="J23">
        <v>22.226615105202686</v>
      </c>
      <c r="K23" s="5">
        <v>86.1</v>
      </c>
      <c r="L23">
        <v>2.2000000000000002</v>
      </c>
      <c r="M23">
        <v>4324.5</v>
      </c>
    </row>
    <row r="24" spans="1:13" x14ac:dyDescent="0.2">
      <c r="A24">
        <v>2019</v>
      </c>
      <c r="B24">
        <v>2</v>
      </c>
      <c r="C24">
        <v>107.81293517373847</v>
      </c>
      <c r="D24" s="4">
        <v>105.76478361413942</v>
      </c>
      <c r="E24" s="13">
        <v>0.71</v>
      </c>
      <c r="F24">
        <v>11.6</v>
      </c>
      <c r="G24">
        <v>45.9</v>
      </c>
      <c r="H24">
        <v>99.2</v>
      </c>
      <c r="I24">
        <v>48.1</v>
      </c>
      <c r="J24">
        <v>22.226615105202686</v>
      </c>
      <c r="K24" s="5">
        <v>86.1</v>
      </c>
      <c r="L24">
        <v>2.2000000000000002</v>
      </c>
      <c r="M24">
        <v>4324.5</v>
      </c>
    </row>
    <row r="25" spans="1:13" x14ac:dyDescent="0.2">
      <c r="A25">
        <v>2019</v>
      </c>
      <c r="B25">
        <v>1</v>
      </c>
      <c r="C25">
        <v>107.81293517373847</v>
      </c>
      <c r="D25" s="4">
        <v>105.76478361413942</v>
      </c>
      <c r="E25" s="13">
        <v>0.71</v>
      </c>
      <c r="F25">
        <v>11.6</v>
      </c>
      <c r="G25">
        <v>45.9</v>
      </c>
      <c r="H25">
        <v>99.2</v>
      </c>
      <c r="I25">
        <v>48.1</v>
      </c>
      <c r="J25">
        <v>22.226615105202686</v>
      </c>
      <c r="K25" s="5">
        <v>86.1</v>
      </c>
      <c r="L25">
        <v>2.2000000000000002</v>
      </c>
      <c r="M25">
        <v>4324.5</v>
      </c>
    </row>
    <row r="26" spans="1:13" x14ac:dyDescent="0.2">
      <c r="A26">
        <v>2018</v>
      </c>
      <c r="B26">
        <v>4</v>
      </c>
      <c r="C26">
        <v>107.16310432398947</v>
      </c>
      <c r="D26" s="4">
        <v>114.82299918373174</v>
      </c>
      <c r="E26" s="13">
        <v>0.88</v>
      </c>
      <c r="F26">
        <v>11.6</v>
      </c>
      <c r="G26">
        <v>46</v>
      </c>
      <c r="H26">
        <v>98.8</v>
      </c>
      <c r="I26">
        <v>42</v>
      </c>
      <c r="J26">
        <v>21.151051866826712</v>
      </c>
      <c r="K26" s="5">
        <v>84.9</v>
      </c>
      <c r="L26">
        <v>2.4</v>
      </c>
      <c r="M26">
        <v>4170.4599999999991</v>
      </c>
    </row>
    <row r="27" spans="1:13" x14ac:dyDescent="0.2">
      <c r="A27">
        <v>2018</v>
      </c>
      <c r="B27">
        <v>3</v>
      </c>
      <c r="C27">
        <v>107.16310432398947</v>
      </c>
      <c r="D27" s="4">
        <v>114.82299918373174</v>
      </c>
      <c r="E27" s="13">
        <v>0.88</v>
      </c>
      <c r="F27">
        <v>11.6</v>
      </c>
      <c r="G27">
        <v>46</v>
      </c>
      <c r="H27">
        <v>98.8</v>
      </c>
      <c r="I27">
        <v>42</v>
      </c>
      <c r="J27">
        <v>21.151051866826712</v>
      </c>
      <c r="K27" s="5">
        <v>84.9</v>
      </c>
      <c r="L27">
        <v>2.4</v>
      </c>
      <c r="M27">
        <v>4170.4599999999991</v>
      </c>
    </row>
    <row r="28" spans="1:13" x14ac:dyDescent="0.2">
      <c r="A28">
        <v>2018</v>
      </c>
      <c r="B28">
        <v>2</v>
      </c>
      <c r="C28">
        <v>107.16310432398947</v>
      </c>
      <c r="D28" s="4">
        <v>114.82299918373174</v>
      </c>
      <c r="E28" s="13">
        <v>0.88</v>
      </c>
      <c r="F28">
        <v>11.6</v>
      </c>
      <c r="G28">
        <v>46</v>
      </c>
      <c r="H28">
        <v>98.8</v>
      </c>
      <c r="I28">
        <v>42</v>
      </c>
      <c r="J28">
        <v>21.151051866826712</v>
      </c>
      <c r="K28" s="5">
        <v>84.9</v>
      </c>
      <c r="L28">
        <v>2.4</v>
      </c>
      <c r="M28">
        <v>4170.4599999999991</v>
      </c>
    </row>
    <row r="29" spans="1:13" x14ac:dyDescent="0.2">
      <c r="A29">
        <v>2018</v>
      </c>
      <c r="B29">
        <v>1</v>
      </c>
      <c r="C29">
        <v>107.16310432398947</v>
      </c>
      <c r="D29" s="4">
        <v>114.82299918373174</v>
      </c>
      <c r="E29" s="13">
        <v>0.88</v>
      </c>
      <c r="F29">
        <v>11.6</v>
      </c>
      <c r="G29">
        <v>46</v>
      </c>
      <c r="H29">
        <v>98.8</v>
      </c>
      <c r="I29">
        <v>42</v>
      </c>
      <c r="J29">
        <v>21.151051866826712</v>
      </c>
      <c r="K29" s="5">
        <v>84.9</v>
      </c>
      <c r="L29">
        <v>2.4</v>
      </c>
      <c r="M29">
        <v>4170.4599999999991</v>
      </c>
    </row>
    <row r="30" spans="1:13" x14ac:dyDescent="0.2">
      <c r="A30">
        <v>2017</v>
      </c>
      <c r="B30">
        <v>4</v>
      </c>
      <c r="C30">
        <v>108.15308454528683</v>
      </c>
      <c r="D30" s="4">
        <v>108.15308454528683</v>
      </c>
      <c r="E30" s="13">
        <v>1.3</v>
      </c>
      <c r="F30">
        <v>8.1</v>
      </c>
      <c r="G30">
        <v>46.3</v>
      </c>
      <c r="H30">
        <v>98.6</v>
      </c>
      <c r="I30">
        <v>44.2</v>
      </c>
      <c r="J30">
        <v>19.839322156492987</v>
      </c>
      <c r="K30" s="5">
        <v>82.5</v>
      </c>
      <c r="L30">
        <v>2.4</v>
      </c>
      <c r="M30">
        <v>4015.1400000000003</v>
      </c>
    </row>
    <row r="31" spans="1:13" x14ac:dyDescent="0.2">
      <c r="A31">
        <v>2017</v>
      </c>
      <c r="B31">
        <v>3</v>
      </c>
      <c r="C31">
        <v>108.15308454528683</v>
      </c>
      <c r="D31" s="4">
        <v>108.15308454528683</v>
      </c>
      <c r="E31" s="13">
        <v>1.3</v>
      </c>
      <c r="F31">
        <v>8.1</v>
      </c>
      <c r="G31">
        <v>46.3</v>
      </c>
      <c r="H31">
        <v>98.6</v>
      </c>
      <c r="I31">
        <v>44.2</v>
      </c>
      <c r="J31">
        <v>19.839322156492987</v>
      </c>
      <c r="K31" s="5">
        <v>82.5</v>
      </c>
      <c r="L31">
        <v>2.4</v>
      </c>
      <c r="M31">
        <v>4015.1400000000003</v>
      </c>
    </row>
    <row r="32" spans="1:13" x14ac:dyDescent="0.2">
      <c r="A32">
        <v>2017</v>
      </c>
      <c r="B32">
        <v>2</v>
      </c>
      <c r="C32">
        <v>108.15308454528683</v>
      </c>
      <c r="D32" s="4">
        <v>108.15308454528683</v>
      </c>
      <c r="E32" s="13">
        <v>1.3</v>
      </c>
      <c r="F32">
        <v>8.1</v>
      </c>
      <c r="G32">
        <v>46.3</v>
      </c>
      <c r="H32">
        <v>98.6</v>
      </c>
      <c r="I32">
        <v>44.2</v>
      </c>
      <c r="J32">
        <v>19.839322156492987</v>
      </c>
      <c r="K32" s="5">
        <v>82.5</v>
      </c>
      <c r="L32">
        <v>2.4</v>
      </c>
      <c r="M32">
        <v>4015.1400000000003</v>
      </c>
    </row>
    <row r="33" spans="1:13" x14ac:dyDescent="0.2">
      <c r="A33">
        <v>2017</v>
      </c>
      <c r="B33">
        <v>1</v>
      </c>
      <c r="C33">
        <v>108.15308454528683</v>
      </c>
      <c r="D33" s="4">
        <v>108.15308454528683</v>
      </c>
      <c r="E33" s="13">
        <v>1.3</v>
      </c>
      <c r="F33">
        <v>8.1</v>
      </c>
      <c r="G33">
        <v>46.3</v>
      </c>
      <c r="H33">
        <v>98.6</v>
      </c>
      <c r="I33">
        <v>44.2</v>
      </c>
      <c r="J33">
        <v>19.839322156492987</v>
      </c>
      <c r="K33" s="5">
        <v>82.5</v>
      </c>
      <c r="L33">
        <v>2.4</v>
      </c>
      <c r="M33">
        <v>4015.1400000000003</v>
      </c>
    </row>
    <row r="34" spans="1:13" x14ac:dyDescent="0.2">
      <c r="A34">
        <v>2016</v>
      </c>
      <c r="B34">
        <v>4</v>
      </c>
      <c r="C34">
        <v>106.36732689637265</v>
      </c>
      <c r="D34" s="4">
        <v>110.70673552276548</v>
      </c>
      <c r="E34" s="13">
        <v>1.4</v>
      </c>
      <c r="F34">
        <v>8.1</v>
      </c>
      <c r="G34">
        <v>46.8</v>
      </c>
      <c r="H34">
        <v>98.6</v>
      </c>
      <c r="I34">
        <v>44.9</v>
      </c>
      <c r="J34">
        <v>18.89128945565685</v>
      </c>
      <c r="K34" s="5">
        <v>75.400000000000006</v>
      </c>
      <c r="L34">
        <v>2.4</v>
      </c>
      <c r="M34">
        <v>4016.7200000000003</v>
      </c>
    </row>
    <row r="35" spans="1:13" x14ac:dyDescent="0.2">
      <c r="A35">
        <v>2016</v>
      </c>
      <c r="B35">
        <v>3</v>
      </c>
      <c r="C35">
        <v>106.36732689637265</v>
      </c>
      <c r="D35" s="4">
        <v>110.70673552276548</v>
      </c>
      <c r="E35" s="13">
        <v>1.4</v>
      </c>
      <c r="F35">
        <v>8.1</v>
      </c>
      <c r="G35">
        <v>46.8</v>
      </c>
      <c r="H35">
        <v>98.6</v>
      </c>
      <c r="I35">
        <v>44.9</v>
      </c>
      <c r="J35">
        <v>18.89128945565685</v>
      </c>
      <c r="K35" s="5">
        <v>75.400000000000006</v>
      </c>
      <c r="L35">
        <v>2.4</v>
      </c>
      <c r="M35">
        <v>4016.7200000000003</v>
      </c>
    </row>
    <row r="36" spans="1:13" x14ac:dyDescent="0.2">
      <c r="A36">
        <v>2016</v>
      </c>
      <c r="B36">
        <v>2</v>
      </c>
      <c r="C36">
        <v>106.36732689637265</v>
      </c>
      <c r="D36" s="4">
        <v>110.70673552276548</v>
      </c>
      <c r="E36" s="13">
        <v>1.4</v>
      </c>
      <c r="F36">
        <v>8.1</v>
      </c>
      <c r="G36">
        <v>46.8</v>
      </c>
      <c r="H36">
        <v>98.6</v>
      </c>
      <c r="I36">
        <v>44.9</v>
      </c>
      <c r="J36">
        <v>18.89128945565685</v>
      </c>
      <c r="K36" s="5">
        <v>75.400000000000006</v>
      </c>
      <c r="L36">
        <v>2.4</v>
      </c>
      <c r="M36">
        <v>4016.7200000000003</v>
      </c>
    </row>
    <row r="37" spans="1:13" x14ac:dyDescent="0.2">
      <c r="A37">
        <v>2016</v>
      </c>
      <c r="B37">
        <v>1</v>
      </c>
      <c r="C37">
        <v>106.36732689637265</v>
      </c>
      <c r="D37" s="4">
        <v>110.70673552276548</v>
      </c>
      <c r="E37" s="13">
        <v>1.4</v>
      </c>
      <c r="F37">
        <v>8.1</v>
      </c>
      <c r="G37">
        <v>46.8</v>
      </c>
      <c r="H37">
        <v>98.6</v>
      </c>
      <c r="I37">
        <v>44.9</v>
      </c>
      <c r="J37">
        <v>18.89128945565685</v>
      </c>
      <c r="K37" s="5">
        <v>75.400000000000006</v>
      </c>
      <c r="L37">
        <v>2.4</v>
      </c>
      <c r="M37">
        <v>4016.7200000000003</v>
      </c>
    </row>
    <row r="38" spans="1:13" x14ac:dyDescent="0.2">
      <c r="A38">
        <v>2015</v>
      </c>
      <c r="B38">
        <v>4</v>
      </c>
      <c r="C38">
        <v>107.0636057899268</v>
      </c>
      <c r="D38" s="4">
        <v>107.0636057899268</v>
      </c>
      <c r="E38" s="11">
        <v>1.8</v>
      </c>
      <c r="F38">
        <v>7.3</v>
      </c>
      <c r="G38">
        <v>45.3</v>
      </c>
      <c r="H38">
        <v>98.4</v>
      </c>
      <c r="I38">
        <v>43.8</v>
      </c>
      <c r="J38">
        <v>17.945544554455445</v>
      </c>
      <c r="K38" s="5">
        <v>69.7</v>
      </c>
      <c r="L38">
        <v>2.6</v>
      </c>
      <c r="M38">
        <v>3963.2599999999998</v>
      </c>
    </row>
    <row r="39" spans="1:13" x14ac:dyDescent="0.2">
      <c r="A39">
        <v>2015</v>
      </c>
      <c r="B39">
        <v>3</v>
      </c>
      <c r="C39">
        <v>107.0636057899268</v>
      </c>
      <c r="D39" s="4">
        <v>107.0636057899268</v>
      </c>
      <c r="E39" s="11">
        <v>1.8</v>
      </c>
      <c r="F39">
        <v>7.3</v>
      </c>
      <c r="G39">
        <v>45.3</v>
      </c>
      <c r="H39">
        <v>98.4</v>
      </c>
      <c r="I39">
        <v>43.8</v>
      </c>
      <c r="J39">
        <v>17.945544554455445</v>
      </c>
      <c r="K39" s="5">
        <v>69.7</v>
      </c>
      <c r="L39">
        <v>2.6</v>
      </c>
      <c r="M39">
        <v>3963.2599999999998</v>
      </c>
    </row>
    <row r="40" spans="1:13" x14ac:dyDescent="0.2">
      <c r="A40">
        <v>2015</v>
      </c>
      <c r="B40">
        <v>2</v>
      </c>
      <c r="C40">
        <v>107.0636057899268</v>
      </c>
      <c r="D40" s="4">
        <v>107.0636057899268</v>
      </c>
      <c r="E40" s="11">
        <v>1.8</v>
      </c>
      <c r="F40">
        <v>7.3</v>
      </c>
      <c r="G40">
        <v>45.3</v>
      </c>
      <c r="H40">
        <v>98.4</v>
      </c>
      <c r="I40">
        <v>43.8</v>
      </c>
      <c r="J40">
        <v>17.945544554455445</v>
      </c>
      <c r="K40" s="5">
        <v>69.7</v>
      </c>
      <c r="L40">
        <v>2.6</v>
      </c>
      <c r="M40">
        <v>3963.2599999999998</v>
      </c>
    </row>
    <row r="41" spans="1:13" x14ac:dyDescent="0.2">
      <c r="A41">
        <v>2015</v>
      </c>
      <c r="B41">
        <v>1</v>
      </c>
      <c r="C41">
        <v>107.0636057899268</v>
      </c>
      <c r="D41" s="4">
        <v>107.0636057899268</v>
      </c>
      <c r="E41" s="11">
        <v>1.8</v>
      </c>
      <c r="F41">
        <v>7.3</v>
      </c>
      <c r="G41">
        <v>45.3</v>
      </c>
      <c r="H41">
        <v>98.4</v>
      </c>
      <c r="I41">
        <v>43.8</v>
      </c>
      <c r="J41">
        <v>17.945544554455445</v>
      </c>
      <c r="K41" s="5">
        <v>69.7</v>
      </c>
      <c r="L41">
        <v>2.6</v>
      </c>
      <c r="M41">
        <v>3963.2599999999998</v>
      </c>
    </row>
    <row r="42" spans="1:13" x14ac:dyDescent="0.2">
      <c r="A42">
        <v>2014</v>
      </c>
      <c r="B42">
        <v>4</v>
      </c>
      <c r="C42">
        <v>125.67064493973949</v>
      </c>
      <c r="D42" s="4">
        <v>116.54859733635593</v>
      </c>
      <c r="E42" s="11">
        <v>2.2999999999999998</v>
      </c>
      <c r="F42">
        <v>7.3</v>
      </c>
      <c r="G42">
        <v>45.3</v>
      </c>
      <c r="H42">
        <v>98.6</v>
      </c>
      <c r="I42">
        <v>39.200000000000003</v>
      </c>
      <c r="J42">
        <v>17.212270949145562</v>
      </c>
      <c r="K42" s="5">
        <v>68</v>
      </c>
      <c r="L42">
        <v>3.5</v>
      </c>
      <c r="M42">
        <v>3895.7359999999899</v>
      </c>
    </row>
    <row r="43" spans="1:13" x14ac:dyDescent="0.2">
      <c r="A43">
        <v>2014</v>
      </c>
      <c r="B43">
        <v>3</v>
      </c>
      <c r="C43">
        <v>125.67064493973949</v>
      </c>
      <c r="D43" s="4">
        <v>116.54859733635593</v>
      </c>
      <c r="E43" s="11">
        <v>2.2999999999999998</v>
      </c>
      <c r="F43">
        <v>7.3</v>
      </c>
      <c r="G43">
        <v>45.3</v>
      </c>
      <c r="H43">
        <v>98.6</v>
      </c>
      <c r="I43">
        <v>39.200000000000003</v>
      </c>
      <c r="J43">
        <v>17.212270949145562</v>
      </c>
      <c r="K43" s="5">
        <v>68</v>
      </c>
      <c r="L43">
        <v>3.5</v>
      </c>
      <c r="M43">
        <v>3895.7359999999899</v>
      </c>
    </row>
    <row r="44" spans="1:13" x14ac:dyDescent="0.2">
      <c r="A44">
        <v>2014</v>
      </c>
      <c r="B44">
        <v>2</v>
      </c>
      <c r="C44">
        <v>125.67064493973949</v>
      </c>
      <c r="D44" s="4">
        <v>116.54859733635593</v>
      </c>
      <c r="E44" s="11">
        <v>2.2999999999999998</v>
      </c>
      <c r="F44">
        <v>7.3</v>
      </c>
      <c r="G44">
        <v>45.3</v>
      </c>
      <c r="H44">
        <v>98.6</v>
      </c>
      <c r="I44">
        <v>39.200000000000003</v>
      </c>
      <c r="J44">
        <v>17.212270949145562</v>
      </c>
      <c r="K44" s="5">
        <v>68</v>
      </c>
      <c r="L44">
        <v>3.5</v>
      </c>
      <c r="M44">
        <v>3895.7359999999899</v>
      </c>
    </row>
    <row r="45" spans="1:13" x14ac:dyDescent="0.2">
      <c r="A45">
        <v>2014</v>
      </c>
      <c r="B45">
        <v>1</v>
      </c>
      <c r="C45">
        <v>125.67064493973949</v>
      </c>
      <c r="D45" s="4">
        <v>116.54859733635593</v>
      </c>
      <c r="E45" s="11">
        <v>2.2999999999999998</v>
      </c>
      <c r="F45">
        <v>7.3</v>
      </c>
      <c r="G45">
        <v>45.3</v>
      </c>
      <c r="H45">
        <v>98.6</v>
      </c>
      <c r="I45">
        <v>39.200000000000003</v>
      </c>
      <c r="J45">
        <v>17.212270949145562</v>
      </c>
      <c r="K45" s="5">
        <v>68</v>
      </c>
      <c r="L45">
        <v>3.5</v>
      </c>
      <c r="M45">
        <v>3895.7359999999899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F818-7DE4-F046-8F1F-856AE9B0E4FF}">
  <dimension ref="A1:L45"/>
  <sheetViews>
    <sheetView tabSelected="1"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132</v>
      </c>
      <c r="B1" t="s">
        <v>1</v>
      </c>
      <c r="C1" t="s">
        <v>125</v>
      </c>
      <c r="D1" t="s">
        <v>31</v>
      </c>
      <c r="E1" t="s">
        <v>119</v>
      </c>
      <c r="F1" t="s">
        <v>95</v>
      </c>
      <c r="G1" t="s">
        <v>120</v>
      </c>
      <c r="H1" t="s">
        <v>127</v>
      </c>
      <c r="I1" t="s">
        <v>129</v>
      </c>
      <c r="J1" t="s">
        <v>128</v>
      </c>
      <c r="K1" t="s">
        <v>133</v>
      </c>
      <c r="L1" t="s">
        <v>134</v>
      </c>
    </row>
    <row r="2" spans="1:12" x14ac:dyDescent="0.2">
      <c r="A2">
        <v>2024</v>
      </c>
      <c r="B2">
        <v>4</v>
      </c>
      <c r="C2" s="3">
        <f>POWER(Final_std_lv3[[#This Row],[Pillar 1: Resilience Capacities]]^10*Final_std_lv3[[#This Row],[Pillar 2: System Structure &amp; Connectivity]]^7*Final_std_lv3[[#This Row],[Pillar 3: Exposure to Shocks &amp; Stressors]]^6, 1/23)</f>
        <v>1.7296928332948729</v>
      </c>
      <c r="H2">
        <v>44</v>
      </c>
      <c r="I2">
        <f>_xlfn.FORECAST.LINEAR(Final_std_lv325[[#This Row],[TIME]],Final_std_lv325[Resilience Index],Final_std_lv325[TIME])</f>
        <v>1.7121293658489529</v>
      </c>
      <c r="J2" s="3">
        <f>Final_std_lv325[[#This Row],[Resilience Index]]-Final_std_lv325[[#This Row],[CRI SOS]]</f>
        <v>1.7563467445919967E-2</v>
      </c>
      <c r="K2" s="3">
        <f>Final_std_lv325[[#This Row],[CRI SOS]]-_xlfn.STDEV.S(J3:J10)</f>
        <v>1.6821414525157619</v>
      </c>
      <c r="L2" s="3">
        <f>Final_std_lv325[[#This Row],[CRI SOS]]-2*_xlfn.STDEV.S(J3:J10)</f>
        <v>1.6521535391825708</v>
      </c>
    </row>
    <row r="3" spans="1:12" x14ac:dyDescent="0.2">
      <c r="A3">
        <v>2024</v>
      </c>
      <c r="B3">
        <v>3</v>
      </c>
      <c r="C3" s="3">
        <f>POWER(Final_std_lv3[[#This Row],[Pillar 1: Resilience Capacities]]^10*Final_std_lv3[[#This Row],[Pillar 2: System Structure &amp; Connectivity]]^7*Final_std_lv3[[#This Row],[Pillar 3: Exposure to Shocks &amp; Stressors]]^6, 1/23)</f>
        <v>1.6556933934941738</v>
      </c>
      <c r="D3" t="s">
        <v>38</v>
      </c>
      <c r="E3">
        <v>2</v>
      </c>
      <c r="H3">
        <v>43</v>
      </c>
      <c r="I3">
        <f>_xlfn.FORECAST.LINEAR(Final_std_lv325[[#This Row],[TIME]],Final_std_lv325[Resilience Index],Final_std_lv325[TIME])</f>
        <v>1.7066792392805008</v>
      </c>
      <c r="J3" s="3">
        <f>Final_std_lv325[[#This Row],[Resilience Index]]-Final_std_lv325[[#This Row],[CRI SOS]]</f>
        <v>-5.0985845786327033E-2</v>
      </c>
      <c r="K3" s="3">
        <f>Final_std_lv325[[#This Row],[CRI SOS]]-_xlfn.STDEV.S(J4:J11)</f>
        <v>1.6924518866530627</v>
      </c>
      <c r="L3" s="3">
        <f>Final_std_lv325[[#This Row],[CRI SOS]]-2*_xlfn.STDEV.S(J4:J11)</f>
        <v>1.6782245340256245</v>
      </c>
    </row>
    <row r="4" spans="1:12" x14ac:dyDescent="0.2">
      <c r="A4">
        <v>2024</v>
      </c>
      <c r="B4">
        <v>2</v>
      </c>
      <c r="C4" s="3">
        <f>POWER(Final_std_lv3[[#This Row],[Pillar 1: Resilience Capacities]]^10*Final_std_lv3[[#This Row],[Pillar 2: System Structure &amp; Connectivity]]^7*Final_std_lv3[[#This Row],[Pillar 3: Exposure to Shocks &amp; Stressors]]^6, 1/23)</f>
        <v>1.700892952181527</v>
      </c>
      <c r="D4" t="s">
        <v>38</v>
      </c>
      <c r="E4">
        <v>2</v>
      </c>
      <c r="H4">
        <v>42</v>
      </c>
      <c r="I4">
        <f>_xlfn.FORECAST.LINEAR(Final_std_lv325[[#This Row],[TIME]],Final_std_lv325[Resilience Index],Final_std_lv325[TIME])</f>
        <v>1.7012291127120487</v>
      </c>
      <c r="J4" s="3">
        <f>Final_std_lv325[[#This Row],[Resilience Index]]-Final_std_lv325[[#This Row],[CRI SOS]]</f>
        <v>-3.361605305216564E-4</v>
      </c>
      <c r="K4" s="3">
        <f>Final_std_lv325[[#This Row],[CRI SOS]]-_xlfn.STDEV.S(J5:J12)</f>
        <v>1.6844820561307532</v>
      </c>
      <c r="L4" s="3">
        <f>Final_std_lv325[[#This Row],[CRI SOS]]-2*_xlfn.STDEV.S(J5:J12)</f>
        <v>1.6677349995494577</v>
      </c>
    </row>
    <row r="5" spans="1:12" x14ac:dyDescent="0.2">
      <c r="A5">
        <v>2024</v>
      </c>
      <c r="B5">
        <v>1</v>
      </c>
      <c r="C5" s="3">
        <f>POWER(Final_std_lv3[[#This Row],[Pillar 1: Resilience Capacities]]^10*Final_std_lv3[[#This Row],[Pillar 2: System Structure &amp; Connectivity]]^7*Final_std_lv3[[#This Row],[Pillar 3: Exposure to Shocks &amp; Stressors]]^6, 1/23)</f>
        <v>1.717734908946686</v>
      </c>
      <c r="H5">
        <v>41</v>
      </c>
      <c r="I5">
        <f>_xlfn.FORECAST.LINEAR(Final_std_lv325[[#This Row],[TIME]],Final_std_lv325[Resilience Index],Final_std_lv325[TIME])</f>
        <v>1.6957789861435963</v>
      </c>
      <c r="J5" s="3">
        <f>Final_std_lv325[[#This Row],[Resilience Index]]-Final_std_lv325[[#This Row],[CRI SOS]]</f>
        <v>2.1955922803089667E-2</v>
      </c>
      <c r="K5" s="3">
        <f>Final_std_lv325[[#This Row],[CRI SOS]]-_xlfn.STDEV.S(J6:J13)</f>
        <v>1.6781914249745533</v>
      </c>
      <c r="L5" s="3">
        <f>Final_std_lv325[[#This Row],[CRI SOS]]-2*_xlfn.STDEV.S(J6:J13)</f>
        <v>1.6606038638055103</v>
      </c>
    </row>
    <row r="6" spans="1:12" x14ac:dyDescent="0.2">
      <c r="A6">
        <v>2023</v>
      </c>
      <c r="B6">
        <v>4</v>
      </c>
      <c r="C6" s="3">
        <f>POWER(Final_std_lv3[[#This Row],[Pillar 1: Resilience Capacities]]^10*Final_std_lv3[[#This Row],[Pillar 2: System Structure &amp; Connectivity]]^7*Final_std_lv3[[#This Row],[Pillar 3: Exposure to Shocks &amp; Stressors]]^6, 1/23)</f>
        <v>1.7219469565012528</v>
      </c>
      <c r="H6">
        <v>40</v>
      </c>
      <c r="I6">
        <f>_xlfn.FORECAST.LINEAR(Final_std_lv325[[#This Row],[TIME]],Final_std_lv325[Resilience Index],Final_std_lv325[TIME])</f>
        <v>1.6903288595751442</v>
      </c>
      <c r="J6" s="3">
        <f>Final_std_lv325[[#This Row],[Resilience Index]]-Final_std_lv325[[#This Row],[CRI SOS]]</f>
        <v>3.1618096926108619E-2</v>
      </c>
      <c r="K6" s="3">
        <f>Final_std_lv325[[#This Row],[CRI SOS]]-_xlfn.STDEV.S(J7:J14)</f>
        <v>1.6664079186630156</v>
      </c>
      <c r="L6" s="3">
        <f>Final_std_lv325[[#This Row],[CRI SOS]]-2*_xlfn.STDEV.S(J7:J14)</f>
        <v>1.6424869777508873</v>
      </c>
    </row>
    <row r="7" spans="1:12" x14ac:dyDescent="0.2">
      <c r="A7">
        <v>2023</v>
      </c>
      <c r="B7">
        <v>3</v>
      </c>
      <c r="C7" s="3">
        <f>POWER(Final_std_lv3[[#This Row],[Pillar 1: Resilience Capacities]]^10*Final_std_lv3[[#This Row],[Pillar 2: System Structure &amp; Connectivity]]^7*Final_std_lv3[[#This Row],[Pillar 3: Exposure to Shocks &amp; Stressors]]^6, 1/23)</f>
        <v>1.7227419254721235</v>
      </c>
      <c r="H7">
        <v>39</v>
      </c>
      <c r="I7">
        <f>_xlfn.FORECAST.LINEAR(Final_std_lv325[[#This Row],[TIME]],Final_std_lv325[Resilience Index],Final_std_lv325[TIME])</f>
        <v>1.6848787330066921</v>
      </c>
      <c r="J7" s="3">
        <f>Final_std_lv325[[#This Row],[Resilience Index]]-Final_std_lv325[[#This Row],[CRI SOS]]</f>
        <v>3.786319246543135E-2</v>
      </c>
      <c r="K7" s="3">
        <f>Final_std_lv325[[#This Row],[CRI SOS]]-_xlfn.STDEV.S(J8:J15)</f>
        <v>1.6448636259695173</v>
      </c>
      <c r="L7" s="3">
        <f>Final_std_lv325[[#This Row],[CRI SOS]]-2*_xlfn.STDEV.S(J8:J15)</f>
        <v>1.6048485189323423</v>
      </c>
    </row>
    <row r="8" spans="1:12" x14ac:dyDescent="0.2">
      <c r="A8">
        <v>2023</v>
      </c>
      <c r="B8">
        <v>2</v>
      </c>
      <c r="C8" s="3">
        <f>POWER(Final_std_lv3[[#This Row],[Pillar 1: Resilience Capacities]]^10*Final_std_lv3[[#This Row],[Pillar 2: System Structure &amp; Connectivity]]^7*Final_std_lv3[[#This Row],[Pillar 3: Exposure to Shocks &amp; Stressors]]^6, 1/23)</f>
        <v>1.7109990558493586</v>
      </c>
      <c r="D8" t="s">
        <v>35</v>
      </c>
      <c r="E8">
        <v>2</v>
      </c>
      <c r="H8">
        <v>38</v>
      </c>
      <c r="I8">
        <f>_xlfn.FORECAST.LINEAR(Final_std_lv325[[#This Row],[TIME]],Final_std_lv325[Resilience Index],Final_std_lv325[TIME])</f>
        <v>1.67942860643824</v>
      </c>
      <c r="J8" s="3">
        <f>Final_std_lv325[[#This Row],[Resilience Index]]-Final_std_lv325[[#This Row],[CRI SOS]]</f>
        <v>3.157044941111864E-2</v>
      </c>
      <c r="K8" s="3">
        <f>Final_std_lv325[[#This Row],[CRI SOS]]-_xlfn.STDEV.S(J9:J16)</f>
        <v>1.6412565038818492</v>
      </c>
      <c r="L8" s="3">
        <f>Final_std_lv325[[#This Row],[CRI SOS]]-2*_xlfn.STDEV.S(J9:J16)</f>
        <v>1.6030844013254584</v>
      </c>
    </row>
    <row r="9" spans="1:12" x14ac:dyDescent="0.2">
      <c r="A9">
        <v>2023</v>
      </c>
      <c r="B9">
        <v>1</v>
      </c>
      <c r="C9" s="3">
        <f>POWER(Final_std_lv3[[#This Row],[Pillar 1: Resilience Capacities]]^10*Final_std_lv3[[#This Row],[Pillar 2: System Structure &amp; Connectivity]]^7*Final_std_lv3[[#This Row],[Pillar 3: Exposure to Shocks &amp; Stressors]]^6, 1/23)</f>
        <v>1.7113562875714308</v>
      </c>
      <c r="H9">
        <v>37</v>
      </c>
      <c r="I9">
        <f>_xlfn.FORECAST.LINEAR(Final_std_lv325[[#This Row],[TIME]],Final_std_lv325[Resilience Index],Final_std_lv325[TIME])</f>
        <v>1.6739784798697879</v>
      </c>
      <c r="J9" s="3">
        <f>Final_std_lv325[[#This Row],[Resilience Index]]-Final_std_lv325[[#This Row],[CRI SOS]]</f>
        <v>3.7377807701642896E-2</v>
      </c>
      <c r="K9" s="3">
        <f>Final_std_lv325[[#This Row],[CRI SOS]]-_xlfn.STDEV.S(J10:J17)</f>
        <v>1.6405291935286115</v>
      </c>
      <c r="L9" s="3">
        <f>Final_std_lv325[[#This Row],[CRI SOS]]-2*_xlfn.STDEV.S(J10:J17)</f>
        <v>1.6070799071874349</v>
      </c>
    </row>
    <row r="10" spans="1:12" x14ac:dyDescent="0.2">
      <c r="A10">
        <v>2022</v>
      </c>
      <c r="B10">
        <v>4</v>
      </c>
      <c r="C10" s="3">
        <f>POWER(Final_std_lv3[[#This Row],[Pillar 1: Resilience Capacities]]^10*Final_std_lv3[[#This Row],[Pillar 2: System Structure &amp; Connectivity]]^7*Final_std_lv3[[#This Row],[Pillar 3: Exposure to Shocks &amp; Stressors]]^6, 1/23)</f>
        <v>1.6742332718524113</v>
      </c>
      <c r="H10">
        <v>36</v>
      </c>
      <c r="I10">
        <f>_xlfn.FORECAST.LINEAR(Final_std_lv325[[#This Row],[TIME]],Final_std_lv325[Resilience Index],Final_std_lv325[TIME])</f>
        <v>1.6685283533013355</v>
      </c>
      <c r="J10" s="3">
        <f>Final_std_lv325[[#This Row],[Resilience Index]]-Final_std_lv325[[#This Row],[CRI SOS]]</f>
        <v>5.7049185510757994E-3</v>
      </c>
      <c r="K10" s="3">
        <f>Final_std_lv325[[#This Row],[CRI SOS]]-_xlfn.STDEV.S(J11:J18)</f>
        <v>1.6360817282590507</v>
      </c>
      <c r="L10" s="3">
        <f>Final_std_lv325[[#This Row],[CRI SOS]]-2*_xlfn.STDEV.S(J11:J18)</f>
        <v>1.6036351032167662</v>
      </c>
    </row>
    <row r="11" spans="1:12" x14ac:dyDescent="0.2">
      <c r="A11">
        <v>2022</v>
      </c>
      <c r="B11">
        <v>3</v>
      </c>
      <c r="C11" s="3">
        <f>POWER(Final_std_lv3[[#This Row],[Pillar 1: Resilience Capacities]]^10*Final_std_lv3[[#This Row],[Pillar 2: System Structure &amp; Connectivity]]^7*Final_std_lv3[[#This Row],[Pillar 3: Exposure to Shocks &amp; Stressors]]^6, 1/23)</f>
        <v>1.686836852278518</v>
      </c>
      <c r="D11" t="s">
        <v>53</v>
      </c>
      <c r="E11">
        <v>2</v>
      </c>
      <c r="H11">
        <v>35</v>
      </c>
      <c r="I11">
        <f>_xlfn.FORECAST.LINEAR(Final_std_lv325[[#This Row],[TIME]],Final_std_lv325[Resilience Index],Final_std_lv325[TIME])</f>
        <v>1.6630782267328834</v>
      </c>
      <c r="J11" s="3">
        <f>Final_std_lv325[[#This Row],[Resilience Index]]-Final_std_lv325[[#This Row],[CRI SOS]]</f>
        <v>2.3758625545634571E-2</v>
      </c>
      <c r="K11" s="3">
        <f>Final_std_lv325[[#This Row],[CRI SOS]]-_xlfn.STDEV.S(J12:J19)</f>
        <v>1.6345995517088663</v>
      </c>
      <c r="L11" s="3">
        <f>Final_std_lv325[[#This Row],[CRI SOS]]-2*_xlfn.STDEV.S(J12:J19)</f>
        <v>1.6061208766848492</v>
      </c>
    </row>
    <row r="12" spans="1:12" x14ac:dyDescent="0.2">
      <c r="A12">
        <v>2022</v>
      </c>
      <c r="B12">
        <v>2</v>
      </c>
      <c r="C12" s="3">
        <f>POWER(Final_std_lv3[[#This Row],[Pillar 1: Resilience Capacities]]^10*Final_std_lv3[[#This Row],[Pillar 2: System Structure &amp; Connectivity]]^7*Final_std_lv3[[#This Row],[Pillar 3: Exposure to Shocks &amp; Stressors]]^6, 1/23)</f>
        <v>1.6476241646931871</v>
      </c>
      <c r="D12" t="s">
        <v>53</v>
      </c>
      <c r="E12">
        <v>2</v>
      </c>
      <c r="H12">
        <v>34</v>
      </c>
      <c r="I12">
        <f>_xlfn.FORECAST.LINEAR(Final_std_lv325[[#This Row],[TIME]],Final_std_lv325[Resilience Index],Final_std_lv325[TIME])</f>
        <v>1.6576281001644313</v>
      </c>
      <c r="J12" s="3">
        <f>Final_std_lv325[[#This Row],[Resilience Index]]-Final_std_lv325[[#This Row],[CRI SOS]]</f>
        <v>-1.000393547124423E-2</v>
      </c>
      <c r="K12" s="3">
        <f>Final_std_lv325[[#This Row],[CRI SOS]]-_xlfn.STDEV.S(J13:J20)</f>
        <v>1.627812197400474</v>
      </c>
      <c r="L12" s="3">
        <f>Final_std_lv325[[#This Row],[CRI SOS]]-2*_xlfn.STDEV.S(J13:J20)</f>
        <v>1.5979962946365169</v>
      </c>
    </row>
    <row r="13" spans="1:12" x14ac:dyDescent="0.2">
      <c r="A13">
        <v>2022</v>
      </c>
      <c r="B13">
        <v>1</v>
      </c>
      <c r="C13" s="3">
        <f>POWER(Final_std_lv3[[#This Row],[Pillar 1: Resilience Capacities]]^10*Final_std_lv3[[#This Row],[Pillar 2: System Structure &amp; Connectivity]]^7*Final_std_lv3[[#This Row],[Pillar 3: Exposure to Shocks &amp; Stressors]]^6, 1/23)</f>
        <v>1.6595274225412844</v>
      </c>
      <c r="H13">
        <v>33</v>
      </c>
      <c r="I13">
        <f>_xlfn.FORECAST.LINEAR(Final_std_lv325[[#This Row],[TIME]],Final_std_lv325[Resilience Index],Final_std_lv325[TIME])</f>
        <v>1.6521779735959792</v>
      </c>
      <c r="J13" s="3">
        <f>Final_std_lv325[[#This Row],[Resilience Index]]-Final_std_lv325[[#This Row],[CRI SOS]]</f>
        <v>7.3494489453052037E-3</v>
      </c>
      <c r="K13" s="3">
        <f>Final_std_lv325[[#This Row],[CRI SOS]]-_xlfn.STDEV.S(J14:J21)</f>
        <v>1.6256130375258191</v>
      </c>
      <c r="L13" s="3">
        <f>Final_std_lv325[[#This Row],[CRI SOS]]-2*_xlfn.STDEV.S(J14:J21)</f>
        <v>1.5990481014556592</v>
      </c>
    </row>
    <row r="14" spans="1:12" x14ac:dyDescent="0.2">
      <c r="A14">
        <v>2021</v>
      </c>
      <c r="B14">
        <v>4</v>
      </c>
      <c r="C14" s="3">
        <f>POWER(Final_std_lv3[[#This Row],[Pillar 1: Resilience Capacities]]^10*Final_std_lv3[[#This Row],[Pillar 2: System Structure &amp; Connectivity]]^7*Final_std_lv3[[#This Row],[Pillar 3: Exposure to Shocks &amp; Stressors]]^6, 1/23)</f>
        <v>1.6182759814046015</v>
      </c>
      <c r="H14">
        <v>32</v>
      </c>
      <c r="I14">
        <f>_xlfn.FORECAST.LINEAR(Final_std_lv325[[#This Row],[TIME]],Final_std_lv325[Resilience Index],Final_std_lv325[TIME])</f>
        <v>1.6467278470275271</v>
      </c>
      <c r="J14" s="3">
        <f>Final_std_lv325[[#This Row],[Resilience Index]]-Final_std_lv325[[#This Row],[CRI SOS]]</f>
        <v>-2.8451865622925565E-2</v>
      </c>
      <c r="K14" s="3">
        <f>Final_std_lv325[[#This Row],[CRI SOS]]-_xlfn.STDEV.S(J15:J22)</f>
        <v>1.6098669154372771</v>
      </c>
      <c r="L14" s="3">
        <f>Final_std_lv325[[#This Row],[CRI SOS]]-2*_xlfn.STDEV.S(J15:J22)</f>
        <v>1.5730059838470272</v>
      </c>
    </row>
    <row r="15" spans="1:12" x14ac:dyDescent="0.2">
      <c r="A15">
        <v>2021</v>
      </c>
      <c r="B15">
        <v>3</v>
      </c>
      <c r="C15" s="3">
        <f>POWER(Final_std_lv3[[#This Row],[Pillar 1: Resilience Capacities]]^10*Final_std_lv3[[#This Row],[Pillar 2: System Structure &amp; Connectivity]]^7*Final_std_lv3[[#This Row],[Pillar 3: Exposure to Shocks &amp; Stressors]]^6, 1/23)</f>
        <v>1.5558668104254252</v>
      </c>
      <c r="D15" t="s">
        <v>53</v>
      </c>
      <c r="E15">
        <v>3</v>
      </c>
      <c r="H15">
        <v>31</v>
      </c>
      <c r="I15">
        <f>_xlfn.FORECAST.LINEAR(Final_std_lv325[[#This Row],[TIME]],Final_std_lv325[Resilience Index],Final_std_lv325[TIME])</f>
        <v>1.6412777204590747</v>
      </c>
      <c r="J15" s="3">
        <f>Final_std_lv325[[#This Row],[Resilience Index]]-Final_std_lv325[[#This Row],[CRI SOS]]</f>
        <v>-8.5410910033649534E-2</v>
      </c>
      <c r="K15" s="3">
        <f>Final_std_lv325[[#This Row],[CRI SOS]]-_xlfn.STDEV.S(J16:J23)</f>
        <v>1.6046504529569638</v>
      </c>
      <c r="L15" s="3">
        <f>Final_std_lv325[[#This Row],[CRI SOS]]-2*_xlfn.STDEV.S(J16:J23)</f>
        <v>1.568023185454853</v>
      </c>
    </row>
    <row r="16" spans="1:12" x14ac:dyDescent="0.2">
      <c r="A16">
        <v>2021</v>
      </c>
      <c r="B16">
        <v>2</v>
      </c>
      <c r="C16" s="3">
        <f>POWER(Final_std_lv3[[#This Row],[Pillar 1: Resilience Capacities]]^10*Final_std_lv3[[#This Row],[Pillar 2: System Structure &amp; Connectivity]]^7*Final_std_lv3[[#This Row],[Pillar 3: Exposure to Shocks &amp; Stressors]]^6, 1/23)</f>
        <v>1.6102285357142825</v>
      </c>
      <c r="D16" t="s">
        <v>53</v>
      </c>
      <c r="E16">
        <v>2</v>
      </c>
      <c r="H16">
        <v>30</v>
      </c>
      <c r="I16">
        <f>_xlfn.FORECAST.LINEAR(Final_std_lv325[[#This Row],[TIME]],Final_std_lv325[Resilience Index],Final_std_lv325[TIME])</f>
        <v>1.6358275938906226</v>
      </c>
      <c r="J16" s="3">
        <f>Final_std_lv325[[#This Row],[Resilience Index]]-Final_std_lv325[[#This Row],[CRI SOS]]</f>
        <v>-2.5599058176340117E-2</v>
      </c>
      <c r="K16" s="3">
        <f>Final_std_lv325[[#This Row],[CRI SOS]]-_xlfn.STDEV.S(J17:J24)</f>
        <v>1.595673610770604</v>
      </c>
      <c r="L16" s="3">
        <f>Final_std_lv325[[#This Row],[CRI SOS]]-2*_xlfn.STDEV.S(J17:J24)</f>
        <v>1.5555196276505856</v>
      </c>
    </row>
    <row r="17" spans="1:12" x14ac:dyDescent="0.2">
      <c r="A17">
        <v>2021</v>
      </c>
      <c r="B17">
        <v>1</v>
      </c>
      <c r="C17" s="3">
        <f>POWER(Final_std_lv3[[#This Row],[Pillar 1: Resilience Capacities]]^10*Final_std_lv3[[#This Row],[Pillar 2: System Structure &amp; Connectivity]]^7*Final_std_lv3[[#This Row],[Pillar 3: Exposure to Shocks &amp; Stressors]]^6, 1/23)</f>
        <v>1.6266582653813042</v>
      </c>
      <c r="D17" t="s">
        <v>53</v>
      </c>
      <c r="E17">
        <v>2</v>
      </c>
      <c r="H17">
        <v>29</v>
      </c>
      <c r="I17">
        <f>_xlfn.FORECAST.LINEAR(Final_std_lv325[[#This Row],[TIME]],Final_std_lv325[Resilience Index],Final_std_lv325[TIME])</f>
        <v>1.6303774673221705</v>
      </c>
      <c r="J17" s="3">
        <f>Final_std_lv325[[#This Row],[Resilience Index]]-Final_std_lv325[[#This Row],[CRI SOS]]</f>
        <v>-3.7192019408662791E-3</v>
      </c>
      <c r="K17" s="3">
        <f>Final_std_lv325[[#This Row],[CRI SOS]]-_xlfn.STDEV.S(J18:J25)</f>
        <v>1.5901478475028321</v>
      </c>
      <c r="L17" s="3">
        <f>Final_std_lv325[[#This Row],[CRI SOS]]-2*_xlfn.STDEV.S(J18:J25)</f>
        <v>1.549918227683494</v>
      </c>
    </row>
    <row r="18" spans="1:12" x14ac:dyDescent="0.2">
      <c r="A18">
        <v>2020</v>
      </c>
      <c r="B18">
        <v>4</v>
      </c>
      <c r="C18" s="3">
        <f>POWER(Final_std_lv3[[#This Row],[Pillar 1: Resilience Capacities]]^10*Final_std_lv3[[#This Row],[Pillar 2: System Structure &amp; Connectivity]]^7*Final_std_lv3[[#This Row],[Pillar 3: Exposure to Shocks &amp; Stressors]]^6, 1/23)</f>
        <v>1.6048238597348707</v>
      </c>
      <c r="D18" t="s">
        <v>38</v>
      </c>
      <c r="E18">
        <v>1</v>
      </c>
      <c r="H18">
        <v>28</v>
      </c>
      <c r="I18">
        <f>_xlfn.FORECAST.LINEAR(Final_std_lv325[[#This Row],[TIME]],Final_std_lv325[Resilience Index],Final_std_lv325[TIME])</f>
        <v>1.6249273407537184</v>
      </c>
      <c r="J18" s="3">
        <f>Final_std_lv325[[#This Row],[Resilience Index]]-Final_std_lv325[[#This Row],[CRI SOS]]</f>
        <v>-2.0103481018847624E-2</v>
      </c>
      <c r="K18" s="3">
        <f>Final_std_lv325[[#This Row],[CRI SOS]]-_xlfn.STDEV.S(J19:J26)</f>
        <v>1.5827285042043031</v>
      </c>
      <c r="L18" s="3">
        <f>Final_std_lv325[[#This Row],[CRI SOS]]-2*_xlfn.STDEV.S(J19:J26)</f>
        <v>1.5405296676548881</v>
      </c>
    </row>
    <row r="19" spans="1:12" x14ac:dyDescent="0.2">
      <c r="A19">
        <v>2020</v>
      </c>
      <c r="B19">
        <v>3</v>
      </c>
      <c r="C19" s="3">
        <f>POWER(Final_std_lv3[[#This Row],[Pillar 1: Resilience Capacities]]^10*Final_std_lv3[[#This Row],[Pillar 2: System Structure &amp; Connectivity]]^7*Final_std_lv3[[#This Row],[Pillar 3: Exposure to Shocks &amp; Stressors]]^6, 1/23)</f>
        <v>1.5779149439505691</v>
      </c>
      <c r="D19" t="s">
        <v>35</v>
      </c>
      <c r="E19">
        <v>1</v>
      </c>
      <c r="H19">
        <v>27</v>
      </c>
      <c r="I19">
        <f>_xlfn.FORECAST.LINEAR(Final_std_lv325[[#This Row],[TIME]],Final_std_lv325[Resilience Index],Final_std_lv325[TIME])</f>
        <v>1.6194772141852662</v>
      </c>
      <c r="J19" s="3">
        <f>Final_std_lv325[[#This Row],[Resilience Index]]-Final_std_lv325[[#This Row],[CRI SOS]]</f>
        <v>-4.1562270234697163E-2</v>
      </c>
      <c r="K19" s="3">
        <f>Final_std_lv325[[#This Row],[CRI SOS]]-_xlfn.STDEV.S(J20:J27)</f>
        <v>1.5772679919109942</v>
      </c>
      <c r="L19" s="3">
        <f>Final_std_lv325[[#This Row],[CRI SOS]]-2*_xlfn.STDEV.S(J20:J27)</f>
        <v>1.5350587696367219</v>
      </c>
    </row>
    <row r="20" spans="1:12" x14ac:dyDescent="0.2">
      <c r="A20">
        <v>2020</v>
      </c>
      <c r="B20">
        <v>2</v>
      </c>
      <c r="C20" s="3">
        <f>POWER(Final_std_lv3[[#This Row],[Pillar 1: Resilience Capacities]]^10*Final_std_lv3[[#This Row],[Pillar 2: System Structure &amp; Connectivity]]^7*Final_std_lv3[[#This Row],[Pillar 3: Exposure to Shocks &amp; Stressors]]^6, 1/23)</f>
        <v>1.5549064188661603</v>
      </c>
      <c r="D20" t="s">
        <v>35</v>
      </c>
      <c r="E20">
        <v>2</v>
      </c>
      <c r="H20">
        <v>26</v>
      </c>
      <c r="I20">
        <f>_xlfn.FORECAST.LINEAR(Final_std_lv325[[#This Row],[TIME]],Final_std_lv325[Resilience Index],Final_std_lv325[TIME])</f>
        <v>1.6140270876168139</v>
      </c>
      <c r="J20" s="3">
        <f>Final_std_lv325[[#This Row],[Resilience Index]]-Final_std_lv325[[#This Row],[CRI SOS]]</f>
        <v>-5.9120668750653582E-2</v>
      </c>
      <c r="K20" s="3">
        <f>Final_std_lv325[[#This Row],[CRI SOS]]-_xlfn.STDEV.S(J21:J28)</f>
        <v>1.575323802012738</v>
      </c>
      <c r="L20" s="3">
        <f>Final_std_lv325[[#This Row],[CRI SOS]]-2*_xlfn.STDEV.S(J21:J28)</f>
        <v>1.5366205164086622</v>
      </c>
    </row>
    <row r="21" spans="1:12" x14ac:dyDescent="0.2">
      <c r="A21">
        <v>2020</v>
      </c>
      <c r="B21">
        <v>1</v>
      </c>
      <c r="C21" s="3">
        <f>POWER(Final_std_lv3[[#This Row],[Pillar 1: Resilience Capacities]]^10*Final_std_lv3[[#This Row],[Pillar 2: System Structure &amp; Connectivity]]^7*Final_std_lv3[[#This Row],[Pillar 3: Exposure to Shocks &amp; Stressors]]^6, 1/23)</f>
        <v>1.5471189908618126</v>
      </c>
      <c r="H21">
        <v>25</v>
      </c>
      <c r="I21">
        <f>_xlfn.FORECAST.LINEAR(Final_std_lv325[[#This Row],[TIME]],Final_std_lv325[Resilience Index],Final_std_lv325[TIME])</f>
        <v>1.6085769610483618</v>
      </c>
      <c r="J21" s="3">
        <f>Final_std_lv325[[#This Row],[Resilience Index]]-Final_std_lv325[[#This Row],[CRI SOS]]</f>
        <v>-6.1457970186549193E-2</v>
      </c>
      <c r="K21" s="3">
        <f>Final_std_lv325[[#This Row],[CRI SOS]]-_xlfn.STDEV.S(J22:J29)</f>
        <v>1.5768876387277571</v>
      </c>
      <c r="L21" s="3">
        <f>Final_std_lv325[[#This Row],[CRI SOS]]-2*_xlfn.STDEV.S(J22:J29)</f>
        <v>1.5451983164071521</v>
      </c>
    </row>
    <row r="22" spans="1:12" x14ac:dyDescent="0.2">
      <c r="A22">
        <v>2019</v>
      </c>
      <c r="B22">
        <v>4</v>
      </c>
      <c r="C22" s="3">
        <f>POWER(Final_std_lv3[[#This Row],[Pillar 1: Resilience Capacities]]^10*Final_std_lv3[[#This Row],[Pillar 2: System Structure &amp; Connectivity]]^7*Final_std_lv3[[#This Row],[Pillar 3: Exposure to Shocks &amp; Stressors]]^6, 1/23)</f>
        <v>1.6343193093904187</v>
      </c>
      <c r="H22">
        <v>24</v>
      </c>
      <c r="I22">
        <f>_xlfn.FORECAST.LINEAR(Final_std_lv325[[#This Row],[TIME]],Final_std_lv325[Resilience Index],Final_std_lv325[TIME])</f>
        <v>1.6031268344799097</v>
      </c>
      <c r="J22" s="3">
        <f>Final_std_lv325[[#This Row],[Resilience Index]]-Final_std_lv325[[#This Row],[CRI SOS]]</f>
        <v>3.1192474910509027E-2</v>
      </c>
      <c r="K22" s="3">
        <f>Final_std_lv325[[#This Row],[CRI SOS]]-_xlfn.STDEV.S(J23:J30)</f>
        <v>1.5738476843589195</v>
      </c>
      <c r="L22" s="3">
        <f>Final_std_lv325[[#This Row],[CRI SOS]]-2*_xlfn.STDEV.S(J23:J30)</f>
        <v>1.5445685342379296</v>
      </c>
    </row>
    <row r="23" spans="1:12" x14ac:dyDescent="0.2">
      <c r="A23">
        <v>2019</v>
      </c>
      <c r="B23">
        <v>3</v>
      </c>
      <c r="C23" s="3">
        <f>POWER(Final_std_lv3[[#This Row],[Pillar 1: Resilience Capacities]]^10*Final_std_lv3[[#This Row],[Pillar 2: System Structure &amp; Connectivity]]^7*Final_std_lv3[[#This Row],[Pillar 3: Exposure to Shocks &amp; Stressors]]^6, 1/23)</f>
        <v>1.6303903364165799</v>
      </c>
      <c r="D23" t="s">
        <v>38</v>
      </c>
      <c r="E23">
        <v>1</v>
      </c>
      <c r="F23" t="s">
        <v>38</v>
      </c>
      <c r="G23">
        <v>1</v>
      </c>
      <c r="H23">
        <v>23</v>
      </c>
      <c r="I23">
        <f>_xlfn.FORECAST.LINEAR(Final_std_lv325[[#This Row],[TIME]],Final_std_lv325[Resilience Index],Final_std_lv325[TIME])</f>
        <v>1.5976767079114575</v>
      </c>
      <c r="J23" s="3">
        <f>Final_std_lv325[[#This Row],[Resilience Index]]-Final_std_lv325[[#This Row],[CRI SOS]]</f>
        <v>3.2713628505122383E-2</v>
      </c>
      <c r="K23" s="3">
        <f>Final_std_lv325[[#This Row],[CRI SOS]]-_xlfn.STDEV.S(J24:J31)</f>
        <v>1.5710893373333648</v>
      </c>
      <c r="L23" s="3">
        <f>Final_std_lv325[[#This Row],[CRI SOS]]-2*_xlfn.STDEV.S(J24:J31)</f>
        <v>1.544501966755272</v>
      </c>
    </row>
    <row r="24" spans="1:12" x14ac:dyDescent="0.2">
      <c r="A24">
        <v>2019</v>
      </c>
      <c r="B24">
        <v>2</v>
      </c>
      <c r="C24" s="3">
        <f>POWER(Final_std_lv3[[#This Row],[Pillar 1: Resilience Capacities]]^10*Final_std_lv3[[#This Row],[Pillar 2: System Structure &amp; Connectivity]]^7*Final_std_lv3[[#This Row],[Pillar 3: Exposure to Shocks &amp; Stressors]]^6, 1/23)</f>
        <v>1.6220434511090989</v>
      </c>
      <c r="D24" t="s">
        <v>38</v>
      </c>
      <c r="E24">
        <v>2</v>
      </c>
      <c r="H24">
        <v>22</v>
      </c>
      <c r="I24">
        <f>_xlfn.FORECAST.LINEAR(Final_std_lv325[[#This Row],[TIME]],Final_std_lv325[Resilience Index],Final_std_lv325[TIME])</f>
        <v>1.5922265813430054</v>
      </c>
      <c r="J24" s="3">
        <f>Final_std_lv325[[#This Row],[Resilience Index]]-Final_std_lv325[[#This Row],[CRI SOS]]</f>
        <v>2.9816869766093435E-2</v>
      </c>
      <c r="K24" s="3">
        <f>Final_std_lv325[[#This Row],[CRI SOS]]-_xlfn.STDEV.S(J25:J32)</f>
        <v>1.5669464424097255</v>
      </c>
      <c r="L24" s="3">
        <f>Final_std_lv325[[#This Row],[CRI SOS]]-2*_xlfn.STDEV.S(J25:J32)</f>
        <v>1.5416663034764457</v>
      </c>
    </row>
    <row r="25" spans="1:12" x14ac:dyDescent="0.2">
      <c r="A25">
        <v>2019</v>
      </c>
      <c r="B25">
        <v>1</v>
      </c>
      <c r="C25" s="3">
        <f>POWER(Final_std_lv3[[#This Row],[Pillar 1: Resilience Capacities]]^10*Final_std_lv3[[#This Row],[Pillar 2: System Structure &amp; Connectivity]]^7*Final_std_lv3[[#This Row],[Pillar 3: Exposure to Shocks &amp; Stressors]]^6, 1/23)</f>
        <v>1.5854586376310651</v>
      </c>
      <c r="H25">
        <v>21</v>
      </c>
      <c r="I25">
        <f>_xlfn.FORECAST.LINEAR(Final_std_lv325[[#This Row],[TIME]],Final_std_lv325[Resilience Index],Final_std_lv325[TIME])</f>
        <v>1.5867764547745531</v>
      </c>
      <c r="J25" s="3">
        <f>Final_std_lv325[[#This Row],[Resilience Index]]-Final_std_lv325[[#This Row],[CRI SOS]]</f>
        <v>-1.3178171434879982E-3</v>
      </c>
      <c r="K25" s="3">
        <f>Final_std_lv325[[#This Row],[CRI SOS]]-_xlfn.STDEV.S(J26:J33)</f>
        <v>1.5571976962077201</v>
      </c>
      <c r="L25" s="3">
        <f>Final_std_lv325[[#This Row],[CRI SOS]]-2*_xlfn.STDEV.S(J26:J33)</f>
        <v>1.5276189376408871</v>
      </c>
    </row>
    <row r="26" spans="1:12" x14ac:dyDescent="0.2">
      <c r="A26">
        <v>2018</v>
      </c>
      <c r="B26">
        <v>4</v>
      </c>
      <c r="C26" s="3">
        <f>POWER(Final_std_lv3[[#This Row],[Pillar 1: Resilience Capacities]]^10*Final_std_lv3[[#This Row],[Pillar 2: System Structure &amp; Connectivity]]^7*Final_std_lv3[[#This Row],[Pillar 3: Exposure to Shocks &amp; Stressors]]^6, 1/23)</f>
        <v>1.5339287933328563</v>
      </c>
      <c r="H26">
        <v>20</v>
      </c>
      <c r="I26">
        <f>_xlfn.FORECAST.LINEAR(Final_std_lv325[[#This Row],[TIME]],Final_std_lv325[Resilience Index],Final_std_lv325[TIME])</f>
        <v>1.581326328206101</v>
      </c>
      <c r="J26" s="3">
        <f>Final_std_lv325[[#This Row],[Resilience Index]]-Final_std_lv325[[#This Row],[CRI SOS]]</f>
        <v>-4.7397534873244718E-2</v>
      </c>
      <c r="K26" s="3">
        <f>Final_std_lv325[[#This Row],[CRI SOS]]-_xlfn.STDEV.S(J27:J34)</f>
        <v>1.5446503437712582</v>
      </c>
      <c r="L26" s="3">
        <f>Final_std_lv325[[#This Row],[CRI SOS]]-2*_xlfn.STDEV.S(J27:J34)</f>
        <v>1.5079743593364154</v>
      </c>
    </row>
    <row r="27" spans="1:12" x14ac:dyDescent="0.2">
      <c r="A27">
        <v>2018</v>
      </c>
      <c r="B27">
        <v>3</v>
      </c>
      <c r="C27" s="3">
        <f>POWER(Final_std_lv3[[#This Row],[Pillar 1: Resilience Capacities]]^10*Final_std_lv3[[#This Row],[Pillar 2: System Structure &amp; Connectivity]]^7*Final_std_lv3[[#This Row],[Pillar 3: Exposure to Shocks &amp; Stressors]]^6, 1/23)</f>
        <v>1.534200168230518</v>
      </c>
      <c r="D27" t="s">
        <v>53</v>
      </c>
      <c r="E27">
        <v>2</v>
      </c>
      <c r="H27">
        <v>19</v>
      </c>
      <c r="I27">
        <f>_xlfn.FORECAST.LINEAR(Final_std_lv325[[#This Row],[TIME]],Final_std_lv325[Resilience Index],Final_std_lv325[TIME])</f>
        <v>1.5758762016376489</v>
      </c>
      <c r="J27" s="3">
        <f>Final_std_lv325[[#This Row],[Resilience Index]]-Final_std_lv325[[#This Row],[CRI SOS]]</f>
        <v>-4.1676033407130886E-2</v>
      </c>
      <c r="K27" s="3">
        <f>Final_std_lv325[[#This Row],[CRI SOS]]-_xlfn.STDEV.S(J28:J35)</f>
        <v>1.5464406271640632</v>
      </c>
      <c r="L27" s="3">
        <f>Final_std_lv325[[#This Row],[CRI SOS]]-2*_xlfn.STDEV.S(J28:J35)</f>
        <v>1.5170050526904775</v>
      </c>
    </row>
    <row r="28" spans="1:12" x14ac:dyDescent="0.2">
      <c r="A28">
        <v>2018</v>
      </c>
      <c r="B28">
        <v>2</v>
      </c>
      <c r="C28" s="3">
        <f>POWER(Final_std_lv3[[#This Row],[Pillar 1: Resilience Capacities]]^10*Final_std_lv3[[#This Row],[Pillar 2: System Structure &amp; Connectivity]]^7*Final_std_lv3[[#This Row],[Pillar 3: Exposure to Shocks &amp; Stressors]]^6, 1/23)</f>
        <v>1.5798131026556896</v>
      </c>
      <c r="H28">
        <v>18</v>
      </c>
      <c r="I28">
        <f>_xlfn.FORECAST.LINEAR(Final_std_lv325[[#This Row],[TIME]],Final_std_lv325[Resilience Index],Final_std_lv325[TIME])</f>
        <v>1.5704260750691967</v>
      </c>
      <c r="J28" s="3">
        <f>Final_std_lv325[[#This Row],[Resilience Index]]-Final_std_lv325[[#This Row],[CRI SOS]]</f>
        <v>9.387027586492902E-3</v>
      </c>
      <c r="K28" s="3">
        <f>Final_std_lv325[[#This Row],[CRI SOS]]-_xlfn.STDEV.S(J29:J36)</f>
        <v>1.531945200029571</v>
      </c>
      <c r="L28" s="3">
        <f>Final_std_lv325[[#This Row],[CRI SOS]]-2*_xlfn.STDEV.S(J29:J36)</f>
        <v>1.4934643249899455</v>
      </c>
    </row>
    <row r="29" spans="1:12" x14ac:dyDescent="0.2">
      <c r="A29">
        <v>2018</v>
      </c>
      <c r="B29">
        <v>1</v>
      </c>
      <c r="C29" s="3">
        <f>POWER(Final_std_lv3[[#This Row],[Pillar 1: Resilience Capacities]]^10*Final_std_lv3[[#This Row],[Pillar 2: System Structure &amp; Connectivity]]^7*Final_std_lv3[[#This Row],[Pillar 3: Exposure to Shocks &amp; Stressors]]^6, 1/23)</f>
        <v>1.5594535775873588</v>
      </c>
      <c r="D29" t="s">
        <v>35</v>
      </c>
      <c r="E29">
        <v>2</v>
      </c>
      <c r="H29">
        <v>17</v>
      </c>
      <c r="I29">
        <f>_xlfn.FORECAST.LINEAR(Final_std_lv325[[#This Row],[TIME]],Final_std_lv325[Resilience Index],Final_std_lv325[TIME])</f>
        <v>1.5649759485007444</v>
      </c>
      <c r="J29" s="3">
        <f>Final_std_lv325[[#This Row],[Resilience Index]]-Final_std_lv325[[#This Row],[CRI SOS]]</f>
        <v>-5.5223709133855881E-3</v>
      </c>
      <c r="K29" s="3">
        <f>Final_std_lv325[[#This Row],[CRI SOS]]-_xlfn.STDEV.S(J30:J37)</f>
        <v>1.527006196854104</v>
      </c>
      <c r="L29" s="3">
        <f>Final_std_lv325[[#This Row],[CRI SOS]]-2*_xlfn.STDEV.S(J30:J37)</f>
        <v>1.4890364452074638</v>
      </c>
    </row>
    <row r="30" spans="1:12" x14ac:dyDescent="0.2">
      <c r="A30">
        <v>2017</v>
      </c>
      <c r="B30">
        <v>4</v>
      </c>
      <c r="C30" s="3">
        <f>POWER(Final_std_lv3[[#This Row],[Pillar 1: Resilience Capacities]]^10*Final_std_lv3[[#This Row],[Pillar 2: System Structure &amp; Connectivity]]^7*Final_std_lv3[[#This Row],[Pillar 3: Exposure to Shocks &amp; Stressors]]^6, 1/23)</f>
        <v>1.5608960620480363</v>
      </c>
      <c r="H30">
        <v>16</v>
      </c>
      <c r="I30">
        <f>_xlfn.FORECAST.LINEAR(Final_std_lv325[[#This Row],[TIME]],Final_std_lv325[Resilience Index],Final_std_lv325[TIME])</f>
        <v>1.5595258219322923</v>
      </c>
      <c r="J30" s="3">
        <f>Final_std_lv325[[#This Row],[Resilience Index]]-Final_std_lv325[[#This Row],[CRI SOS]]</f>
        <v>1.370240115744048E-3</v>
      </c>
      <c r="K30" s="3">
        <f>Final_std_lv325[[#This Row],[CRI SOS]]-_xlfn.STDEV.S(J31:J38)</f>
        <v>1.5181255331223229</v>
      </c>
      <c r="L30" s="3">
        <f>Final_std_lv325[[#This Row],[CRI SOS]]-2*_xlfn.STDEV.S(J31:J38)</f>
        <v>1.4767252443123533</v>
      </c>
    </row>
    <row r="31" spans="1:12" x14ac:dyDescent="0.2">
      <c r="A31">
        <v>2017</v>
      </c>
      <c r="B31">
        <v>3</v>
      </c>
      <c r="C31" s="3">
        <f>POWER(Final_std_lv3[[#This Row],[Pillar 1: Resilience Capacities]]^10*Final_std_lv3[[#This Row],[Pillar 2: System Structure &amp; Connectivity]]^7*Final_std_lv3[[#This Row],[Pillar 3: Exposure to Shocks &amp; Stressors]]^6, 1/23)</f>
        <v>1.5673096600521379</v>
      </c>
      <c r="H31">
        <v>15</v>
      </c>
      <c r="I31">
        <f>_xlfn.FORECAST.LINEAR(Final_std_lv325[[#This Row],[TIME]],Final_std_lv325[Resilience Index],Final_std_lv325[TIME])</f>
        <v>1.5540756953638402</v>
      </c>
      <c r="J31" s="3">
        <f>Final_std_lv325[[#This Row],[Resilience Index]]-Final_std_lv325[[#This Row],[CRI SOS]]</f>
        <v>1.3233964688297739E-2</v>
      </c>
      <c r="K31" s="3">
        <f>Final_std_lv325[[#This Row],[CRI SOS]]-_xlfn.STDEV.S(J32:J39)</f>
        <v>1.508743609891535</v>
      </c>
      <c r="L31" s="3">
        <f>Final_std_lv325[[#This Row],[CRI SOS]]-2*_xlfn.STDEV.S(J32:J39)</f>
        <v>1.4634115244192301</v>
      </c>
    </row>
    <row r="32" spans="1:12" x14ac:dyDescent="0.2">
      <c r="A32">
        <v>2017</v>
      </c>
      <c r="B32">
        <v>2</v>
      </c>
      <c r="C32" s="3">
        <f>POWER(Final_std_lv3[[#This Row],[Pillar 1: Resilience Capacities]]^10*Final_std_lv3[[#This Row],[Pillar 2: System Structure &amp; Connectivity]]^7*Final_std_lv3[[#This Row],[Pillar 3: Exposure to Shocks &amp; Stressors]]^6, 1/23)</f>
        <v>1.5709838332142312</v>
      </c>
      <c r="H32">
        <v>14</v>
      </c>
      <c r="I32">
        <f>_xlfn.FORECAST.LINEAR(Final_std_lv325[[#This Row],[TIME]],Final_std_lv325[Resilience Index],Final_std_lv325[TIME])</f>
        <v>1.548625568795388</v>
      </c>
      <c r="J32" s="3">
        <f>Final_std_lv325[[#This Row],[Resilience Index]]-Final_std_lv325[[#This Row],[CRI SOS]]</f>
        <v>2.2358264418843143E-2</v>
      </c>
      <c r="K32" s="3">
        <f>Final_std_lv325[[#This Row],[CRI SOS]]-_xlfn.STDEV.S(J33:J40)</f>
        <v>1.4983110891364093</v>
      </c>
      <c r="L32" s="3">
        <f>Final_std_lv325[[#This Row],[CRI SOS]]-2*_xlfn.STDEV.S(J33:J40)</f>
        <v>1.4479966094774306</v>
      </c>
    </row>
    <row r="33" spans="1:12" x14ac:dyDescent="0.2">
      <c r="A33">
        <v>2017</v>
      </c>
      <c r="B33">
        <v>1</v>
      </c>
      <c r="C33" s="3">
        <f>POWER(Final_std_lv3[[#This Row],[Pillar 1: Resilience Capacities]]^10*Final_std_lv3[[#This Row],[Pillar 2: System Structure &amp; Connectivity]]^7*Final_std_lv3[[#This Row],[Pillar 3: Exposure to Shocks &amp; Stressors]]^6, 1/23)</f>
        <v>1.5800736822055468</v>
      </c>
      <c r="H33">
        <v>13</v>
      </c>
      <c r="I33">
        <f>_xlfn.FORECAST.LINEAR(Final_std_lv325[[#This Row],[TIME]],Final_std_lv325[Resilience Index],Final_std_lv325[TIME])</f>
        <v>1.5431754422269359</v>
      </c>
      <c r="J33" s="3">
        <f>Final_std_lv325[[#This Row],[Resilience Index]]-Final_std_lv325[[#This Row],[CRI SOS]]</f>
        <v>3.6898239978610858E-2</v>
      </c>
      <c r="K33" s="3">
        <f>Final_std_lv325[[#This Row],[CRI SOS]]-_xlfn.STDEV.S(J34:J41)</f>
        <v>1.4904641823008911</v>
      </c>
      <c r="L33" s="3">
        <f>Final_std_lv325[[#This Row],[CRI SOS]]-2*_xlfn.STDEV.S(J34:J41)</f>
        <v>1.437752922374846</v>
      </c>
    </row>
    <row r="34" spans="1:12" x14ac:dyDescent="0.2">
      <c r="A34">
        <v>2016</v>
      </c>
      <c r="B34">
        <v>4</v>
      </c>
      <c r="C34" s="3">
        <f>POWER(Final_std_lv3[[#This Row],[Pillar 1: Resilience Capacities]]^10*Final_std_lv3[[#This Row],[Pillar 2: System Structure &amp; Connectivity]]^7*Final_std_lv3[[#This Row],[Pillar 3: Exposure to Shocks &amp; Stressors]]^6, 1/23)</f>
        <v>1.6236405123873481</v>
      </c>
      <c r="D34" t="s">
        <v>38</v>
      </c>
      <c r="E34">
        <v>1</v>
      </c>
      <c r="H34">
        <v>12</v>
      </c>
      <c r="I34">
        <f>_xlfn.FORECAST.LINEAR(Final_std_lv325[[#This Row],[TIME]],Final_std_lv325[Resilience Index],Final_std_lv325[TIME])</f>
        <v>1.5377253156584836</v>
      </c>
      <c r="J34" s="3">
        <f>Final_std_lv325[[#This Row],[Resilience Index]]-Final_std_lv325[[#This Row],[CRI SOS]]</f>
        <v>8.5915196728864496E-2</v>
      </c>
      <c r="K34" s="3">
        <f>Final_std_lv325[[#This Row],[CRI SOS]]-_xlfn.STDEV.S(J35:J42)</f>
        <v>1.4900792278926394</v>
      </c>
      <c r="L34" s="3">
        <f>Final_std_lv325[[#This Row],[CRI SOS]]-2*_xlfn.STDEV.S(J35:J42)</f>
        <v>1.4424331401267951</v>
      </c>
    </row>
    <row r="35" spans="1:12" x14ac:dyDescent="0.2">
      <c r="A35">
        <v>2016</v>
      </c>
      <c r="B35">
        <v>3</v>
      </c>
      <c r="C35" s="3">
        <f>POWER(Final_std_lv3[[#This Row],[Pillar 1: Resilience Capacities]]^10*Final_std_lv3[[#This Row],[Pillar 2: System Structure &amp; Connectivity]]^7*Final_std_lv3[[#This Row],[Pillar 3: Exposure to Shocks &amp; Stressors]]^6, 1/23)</f>
        <v>1.5355893148120729</v>
      </c>
      <c r="H35">
        <v>11</v>
      </c>
      <c r="I35">
        <f>_xlfn.FORECAST.LINEAR(Final_std_lv325[[#This Row],[TIME]],Final_std_lv325[Resilience Index],Final_std_lv325[TIME])</f>
        <v>1.5322751890900315</v>
      </c>
      <c r="J35" s="3">
        <f>Final_std_lv325[[#This Row],[Resilience Index]]-Final_std_lv325[[#This Row],[CRI SOS]]</f>
        <v>3.3141257220414833E-3</v>
      </c>
      <c r="K35" s="3">
        <f>Final_std_lv325[[#This Row],[CRI SOS]]-_xlfn.STDEV.S(J36:J43)</f>
        <v>1.4840227831426835</v>
      </c>
      <c r="L35" s="3">
        <f>Final_std_lv325[[#This Row],[CRI SOS]]-2*_xlfn.STDEV.S(J36:J43)</f>
        <v>1.4357703771953356</v>
      </c>
    </row>
    <row r="36" spans="1:12" x14ac:dyDescent="0.2">
      <c r="A36">
        <v>2016</v>
      </c>
      <c r="B36">
        <v>2</v>
      </c>
      <c r="C36" s="3">
        <f>POWER(Final_std_lv3[[#This Row],[Pillar 1: Resilience Capacities]]^10*Final_std_lv3[[#This Row],[Pillar 2: System Structure &amp; Connectivity]]^7*Final_std_lv3[[#This Row],[Pillar 3: Exposure to Shocks &amp; Stressors]]^6, 1/23)</f>
        <v>1.6206565428725204</v>
      </c>
      <c r="D36" t="s">
        <v>38</v>
      </c>
      <c r="E36">
        <v>2</v>
      </c>
      <c r="H36">
        <v>10</v>
      </c>
      <c r="I36">
        <f>_xlfn.FORECAST.LINEAR(Final_std_lv325[[#This Row],[TIME]],Final_std_lv325[Resilience Index],Final_std_lv325[TIME])</f>
        <v>1.5268250625215793</v>
      </c>
      <c r="J36" s="3">
        <f>Final_std_lv325[[#This Row],[Resilience Index]]-Final_std_lv325[[#This Row],[CRI SOS]]</f>
        <v>9.3831480350941021E-2</v>
      </c>
      <c r="K36" s="3">
        <f>Final_std_lv325[[#This Row],[CRI SOS]]-_xlfn.STDEV.S(J37:J44)</f>
        <v>1.4937189494709289</v>
      </c>
      <c r="L36" s="3">
        <f>Final_std_lv325[[#This Row],[CRI SOS]]-2*_xlfn.STDEV.S(J37:J44)</f>
        <v>1.4606128364202784</v>
      </c>
    </row>
    <row r="37" spans="1:12" x14ac:dyDescent="0.2">
      <c r="A37">
        <v>2016</v>
      </c>
      <c r="B37">
        <v>1</v>
      </c>
      <c r="C37" s="3">
        <f>POWER(Final_std_lv3[[#This Row],[Pillar 1: Resilience Capacities]]^10*Final_std_lv3[[#This Row],[Pillar 2: System Structure &amp; Connectivity]]^7*Final_std_lv3[[#This Row],[Pillar 3: Exposure to Shocks &amp; Stressors]]^6, 1/23)</f>
        <v>1.5964235759344334</v>
      </c>
      <c r="D37" t="s">
        <v>38</v>
      </c>
      <c r="E37">
        <v>2</v>
      </c>
      <c r="H37">
        <v>9</v>
      </c>
      <c r="I37">
        <f>_xlfn.FORECAST.LINEAR(Final_std_lv325[[#This Row],[TIME]],Final_std_lv325[Resilience Index],Final_std_lv325[TIME])</f>
        <v>1.5213749359531272</v>
      </c>
      <c r="J37" s="3">
        <f>Final_std_lv325[[#This Row],[Resilience Index]]-Final_std_lv325[[#This Row],[CRI SOS]]</f>
        <v>7.5048639981306176E-2</v>
      </c>
      <c r="K37" s="3">
        <f>Final_std_lv325[[#This Row],[CRI SOS]]-_xlfn.STDEV.S(J38:J45)</f>
        <v>1.5094545208370893</v>
      </c>
      <c r="L37" s="3">
        <f>Final_std_lv325[[#This Row],[CRI SOS]]-2*_xlfn.STDEV.S(J38:J45)</f>
        <v>1.4975341057210512</v>
      </c>
    </row>
    <row r="38" spans="1:12" x14ac:dyDescent="0.2">
      <c r="A38">
        <v>2015</v>
      </c>
      <c r="B38">
        <v>4</v>
      </c>
      <c r="C38" s="3">
        <f>POWER(Final_std_lv3[[#This Row],[Pillar 1: Resilience Capacities]]^10*Final_std_lv3[[#This Row],[Pillar 2: System Structure &amp; Connectivity]]^7*Final_std_lv3[[#This Row],[Pillar 3: Exposure to Shocks &amp; Stressors]]^6, 1/23)</f>
        <v>1.4977221800663649</v>
      </c>
      <c r="D38" t="s">
        <v>38</v>
      </c>
      <c r="E38">
        <v>2</v>
      </c>
      <c r="H38">
        <v>8</v>
      </c>
      <c r="I38">
        <f>_xlfn.FORECAST.LINEAR(Final_std_lv325[[#This Row],[TIME]],Final_std_lv325[Resilience Index],Final_std_lv325[TIME])</f>
        <v>1.5159248093846751</v>
      </c>
      <c r="J38" s="3">
        <f>Final_std_lv325[[#This Row],[Resilience Index]]-Final_std_lv325[[#This Row],[CRI SOS]]</f>
        <v>-1.8202629318310182E-2</v>
      </c>
      <c r="K38" s="3">
        <f>Final_std_lv325[[#This Row],[CRI SOS]]-_xlfn.STDEV.S(J39:J46)</f>
        <v>1.5031031050383861</v>
      </c>
      <c r="L38" s="3">
        <f>Final_std_lv325[[#This Row],[CRI SOS]]-2*_xlfn.STDEV.S(J39:J46)</f>
        <v>1.490281400692097</v>
      </c>
    </row>
    <row r="39" spans="1:12" x14ac:dyDescent="0.2">
      <c r="A39">
        <v>2015</v>
      </c>
      <c r="B39">
        <v>3</v>
      </c>
      <c r="C39" s="3">
        <f>POWER(Final_std_lv3[[#This Row],[Pillar 1: Resilience Capacities]]^10*Final_std_lv3[[#This Row],[Pillar 2: System Structure &amp; Connectivity]]^7*Final_std_lv3[[#This Row],[Pillar 3: Exposure to Shocks &amp; Stressors]]^6, 1/23)</f>
        <v>1.4932241510917044</v>
      </c>
      <c r="H39">
        <v>7</v>
      </c>
      <c r="I39">
        <f>_xlfn.FORECAST.LINEAR(Final_std_lv325[[#This Row],[TIME]],Final_std_lv325[Resilience Index],Final_std_lv325[TIME])</f>
        <v>1.5104746828162228</v>
      </c>
      <c r="J39" s="3">
        <f>Final_std_lv325[[#This Row],[Resilience Index]]-Final_std_lv325[[#This Row],[CRI SOS]]</f>
        <v>-1.7250531724518403E-2</v>
      </c>
      <c r="K39" s="3">
        <f>Final_std_lv325[[#This Row],[CRI SOS]]-_xlfn.STDEV.S(J40:J47)</f>
        <v>1.4965648686845539</v>
      </c>
      <c r="L39" s="3">
        <f>Final_std_lv325[[#This Row],[CRI SOS]]-2*_xlfn.STDEV.S(J40:J47)</f>
        <v>1.4826550545528849</v>
      </c>
    </row>
    <row r="40" spans="1:12" x14ac:dyDescent="0.2">
      <c r="A40">
        <v>2015</v>
      </c>
      <c r="B40">
        <v>2</v>
      </c>
      <c r="C40" s="3">
        <f>POWER(Final_std_lv3[[#This Row],[Pillar 1: Resilience Capacities]]^10*Final_std_lv3[[#This Row],[Pillar 2: System Structure &amp; Connectivity]]^7*Final_std_lv3[[#This Row],[Pillar 3: Exposure to Shocks &amp; Stressors]]^6, 1/23)</f>
        <v>1.4786286007178295</v>
      </c>
      <c r="D40" t="s">
        <v>35</v>
      </c>
      <c r="E40">
        <v>2</v>
      </c>
      <c r="H40">
        <v>6</v>
      </c>
      <c r="I40">
        <f>_xlfn.FORECAST.LINEAR(Final_std_lv325[[#This Row],[TIME]],Final_std_lv325[Resilience Index],Final_std_lv325[TIME])</f>
        <v>1.5050245562477707</v>
      </c>
      <c r="J40" s="3">
        <f>Final_std_lv325[[#This Row],[Resilience Index]]-Final_std_lv325[[#This Row],[CRI SOS]]</f>
        <v>-2.6395955529941117E-2</v>
      </c>
      <c r="K40" s="3">
        <f>Final_std_lv325[[#This Row],[CRI SOS]]-_xlfn.STDEV.S(J41:J48)</f>
        <v>1.4896644038785558</v>
      </c>
      <c r="L40" s="3">
        <f>Final_std_lv325[[#This Row],[CRI SOS]]-2*_xlfn.STDEV.S(J41:J48)</f>
        <v>1.474304251509341</v>
      </c>
    </row>
    <row r="41" spans="1:12" x14ac:dyDescent="0.2">
      <c r="A41">
        <v>2015</v>
      </c>
      <c r="B41">
        <v>1</v>
      </c>
      <c r="C41" s="3">
        <f>POWER(Final_std_lv3[[#This Row],[Pillar 1: Resilience Capacities]]^10*Final_std_lv3[[#This Row],[Pillar 2: System Structure &amp; Connectivity]]^7*Final_std_lv3[[#This Row],[Pillar 3: Exposure to Shocks &amp; Stressors]]^6, 1/23)</f>
        <v>1.4822909980762684</v>
      </c>
      <c r="H41">
        <v>5</v>
      </c>
      <c r="I41">
        <f>_xlfn.FORECAST.LINEAR(Final_std_lv325[[#This Row],[TIME]],Final_std_lv325[Resilience Index],Final_std_lv325[TIME])</f>
        <v>1.4995744296793185</v>
      </c>
      <c r="J41" s="3">
        <f>Final_std_lv325[[#This Row],[Resilience Index]]-Final_std_lv325[[#This Row],[CRI SOS]]</f>
        <v>-1.7283431603050126E-2</v>
      </c>
      <c r="K41" s="3">
        <f>Final_std_lv325[[#This Row],[CRI SOS]]-_xlfn.STDEV.S(J42:J49)</f>
        <v>1.4820068798122115</v>
      </c>
      <c r="L41" s="3">
        <f>Final_std_lv325[[#This Row],[CRI SOS]]-2*_xlfn.STDEV.S(J42:J49)</f>
        <v>1.4644393299451046</v>
      </c>
    </row>
    <row r="42" spans="1:12" x14ac:dyDescent="0.2">
      <c r="A42">
        <v>2014</v>
      </c>
      <c r="B42">
        <v>4</v>
      </c>
      <c r="C42" s="3">
        <f>POWER(Final_std_lv3[[#This Row],[Pillar 1: Resilience Capacities]]^10*Final_std_lv3[[#This Row],[Pillar 2: System Structure &amp; Connectivity]]^7*Final_std_lv3[[#This Row],[Pillar 3: Exposure to Shocks &amp; Stressors]]^6, 1/23)</f>
        <v>1.4726748601202044</v>
      </c>
      <c r="D42" t="s">
        <v>38</v>
      </c>
      <c r="E42">
        <v>1</v>
      </c>
      <c r="H42">
        <v>4</v>
      </c>
      <c r="I42">
        <f>_xlfn.FORECAST.LINEAR(Final_std_lv325[[#This Row],[TIME]],Final_std_lv325[Resilience Index],Final_std_lv325[TIME])</f>
        <v>1.4941243031108664</v>
      </c>
      <c r="J42" s="3">
        <f>Final_std_lv325[[#This Row],[Resilience Index]]-Final_std_lv325[[#This Row],[CRI SOS]]</f>
        <v>-2.1449442990661982E-2</v>
      </c>
      <c r="K42" s="3">
        <f>Final_std_lv325[[#This Row],[CRI SOS]]-_xlfn.STDEV.S(J43:J50)</f>
        <v>1.4726134243551277</v>
      </c>
      <c r="L42" s="3">
        <f>Final_std_lv325[[#This Row],[CRI SOS]]-2*_xlfn.STDEV.S(J43:J50)</f>
        <v>1.4511025455993889</v>
      </c>
    </row>
    <row r="43" spans="1:12" x14ac:dyDescent="0.2">
      <c r="A43">
        <v>2014</v>
      </c>
      <c r="B43">
        <v>3</v>
      </c>
      <c r="C43" s="3">
        <f>POWER(Final_std_lv3[[#This Row],[Pillar 1: Resilience Capacities]]^10*Final_std_lv3[[#This Row],[Pillar 2: System Structure &amp; Connectivity]]^7*Final_std_lv3[[#This Row],[Pillar 3: Exposure to Shocks &amp; Stressors]]^6, 1/23)</f>
        <v>1.4759217423199418</v>
      </c>
      <c r="H43">
        <v>3</v>
      </c>
      <c r="I43">
        <f>_xlfn.FORECAST.LINEAR(Final_std_lv325[[#This Row],[TIME]],Final_std_lv325[Resilience Index],Final_std_lv325[TIME])</f>
        <v>1.4886741765424143</v>
      </c>
      <c r="J43" s="3">
        <f>Final_std_lv325[[#This Row],[Resilience Index]]-Final_std_lv325[[#This Row],[CRI SOS]]</f>
        <v>-1.275243422247252E-2</v>
      </c>
      <c r="K43" s="3">
        <f>Final_std_lv325[[#This Row],[CRI SOS]]-_xlfn.STDEV.S(J44:J51)</f>
        <v>1.4605388143868065</v>
      </c>
      <c r="L43" s="3">
        <f>Final_std_lv325[[#This Row],[CRI SOS]]-2*_xlfn.STDEV.S(J44:J51)</f>
        <v>1.4324034522311988</v>
      </c>
    </row>
    <row r="44" spans="1:12" x14ac:dyDescent="0.2">
      <c r="A44">
        <v>2014</v>
      </c>
      <c r="B44">
        <v>2</v>
      </c>
      <c r="C44" s="3">
        <f>POWER(Final_std_lv3[[#This Row],[Pillar 1: Resilience Capacities]]^10*Final_std_lv3[[#This Row],[Pillar 2: System Structure &amp; Connectivity]]^7*Final_std_lv3[[#This Row],[Pillar 3: Exposure to Shocks &amp; Stressors]]^6, 1/23)</f>
        <v>1.4761974888106508</v>
      </c>
      <c r="H44">
        <v>2</v>
      </c>
      <c r="I44">
        <f>_xlfn.FORECAST.LINEAR(Final_std_lv325[[#This Row],[TIME]],Final_std_lv325[Resilience Index],Final_std_lv325[TIME])</f>
        <v>1.483224049973962</v>
      </c>
      <c r="J44" s="3">
        <f>Final_std_lv325[[#This Row],[Resilience Index]]-Final_std_lv325[[#This Row],[CRI SOS]]</f>
        <v>-7.0265611633111291E-3</v>
      </c>
      <c r="K44" s="3" t="e">
        <f>Final_std_lv325[[#This Row],[CRI SOS]]-_xlfn.STDEV.S(J45:J52)</f>
        <v>#DIV/0!</v>
      </c>
      <c r="L44" s="3" t="e">
        <f>Final_std_lv325[[#This Row],[CRI SOS]]-2*_xlfn.STDEV.S(J45:J52)</f>
        <v>#DIV/0!</v>
      </c>
    </row>
    <row r="45" spans="1:12" x14ac:dyDescent="0.2">
      <c r="A45">
        <v>2014</v>
      </c>
      <c r="B45">
        <v>1</v>
      </c>
      <c r="C45" s="3">
        <f>POWER(Final_std_lv3[[#This Row],[Pillar 1: Resilience Capacities]]^10*Final_std_lv3[[#This Row],[Pillar 2: System Structure &amp; Connectivity]]^7*Final_std_lv3[[#This Row],[Pillar 3: Exposure to Shocks &amp; Stressors]]^6, 1/23)</f>
        <v>1.4309579514994595</v>
      </c>
      <c r="H45">
        <v>1</v>
      </c>
      <c r="I45">
        <f>_xlfn.FORECAST.LINEAR(Final_std_lv325[[#This Row],[TIME]],Final_std_lv325[Resilience Index],Final_std_lv325[TIME])</f>
        <v>1.4777739234055098</v>
      </c>
      <c r="J45" s="3">
        <f>Final_std_lv325[[#This Row],[Resilience Index]]-Final_std_lv325[[#This Row],[CRI SOS]]</f>
        <v>-4.6815971906050358E-2</v>
      </c>
      <c r="K45" s="3" t="e">
        <f>Final_std_lv325[[#This Row],[CRI SOS]]-_xlfn.STDEV.S(J46:J53)</f>
        <v>#DIV/0!</v>
      </c>
      <c r="L45" s="3" t="e">
        <f>Final_std_lv325[[#This Row],[CRI SOS]]-2*_xlfn.STDEV.S(J46:J53)</f>
        <v>#DIV/0!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66BD-E08E-2C45-96CE-2D7BB50A9914}">
  <dimension ref="A1:Q45"/>
  <sheetViews>
    <sheetView workbookViewId="0">
      <selection activeCell="C2" sqref="C2:C14"/>
    </sheetView>
  </sheetViews>
  <sheetFormatPr baseColWidth="10" defaultRowHeight="16" x14ac:dyDescent="0.2"/>
  <cols>
    <col min="3" max="3" width="13.5" customWidth="1"/>
    <col min="5" max="5" width="12.5" customWidth="1"/>
    <col min="7" max="7" width="13.5" customWidth="1"/>
    <col min="9" max="9" width="12.5" customWidth="1"/>
  </cols>
  <sheetData>
    <row r="1" spans="1:17" x14ac:dyDescent="0.2">
      <c r="A1" s="26" t="s">
        <v>0</v>
      </c>
      <c r="B1" s="26" t="s">
        <v>1</v>
      </c>
      <c r="C1" s="26" t="s">
        <v>130</v>
      </c>
      <c r="D1" s="26" t="s">
        <v>31</v>
      </c>
      <c r="E1" s="26" t="s">
        <v>119</v>
      </c>
      <c r="F1" s="26" t="s">
        <v>95</v>
      </c>
      <c r="G1" s="26" t="s">
        <v>120</v>
      </c>
      <c r="H1" s="26" t="s">
        <v>127</v>
      </c>
      <c r="I1" s="26" t="s">
        <v>135</v>
      </c>
      <c r="J1" s="26" t="s">
        <v>128</v>
      </c>
      <c r="K1" s="26" t="s">
        <v>136</v>
      </c>
      <c r="L1" s="26" t="s">
        <v>137</v>
      </c>
      <c r="M1" s="26" t="s">
        <v>138</v>
      </c>
      <c r="N1" s="26" t="s">
        <v>139</v>
      </c>
      <c r="O1" s="26" t="s">
        <v>142</v>
      </c>
      <c r="P1" s="26" t="s">
        <v>140</v>
      </c>
      <c r="Q1" s="26" t="s">
        <v>141</v>
      </c>
    </row>
    <row r="2" spans="1:17" x14ac:dyDescent="0.2">
      <c r="A2" s="22">
        <v>2024</v>
      </c>
      <c r="B2" s="22">
        <v>4</v>
      </c>
      <c r="C2" s="23">
        <f>POWER(Pillar1_quarterly1018[[#This Row],[A. ASSET]]^10*Pillar1_quarterly1018[[#This Row],[B. ADAPTIVE CAPACITY]],1/10)</f>
        <v>1.7864209674137739</v>
      </c>
      <c r="D2" s="22"/>
      <c r="E2" s="22"/>
      <c r="F2" s="22"/>
      <c r="G2" s="22"/>
      <c r="H2" s="22">
        <v>44</v>
      </c>
      <c r="I2" s="22">
        <f>_xlfn.FORECAST.LINEAR(Table28[[#This Row],[TIME]],Table28[Pillar1 Index],Table28[TIME])</f>
        <v>1.7435689709333502</v>
      </c>
      <c r="J2" s="23">
        <f>'Pillar1 SOS'!$C2-'Pillar1 SOS'!$I2</f>
        <v>4.2851996480423704E-2</v>
      </c>
      <c r="K2" s="23">
        <f>'Pillar1 SOS'!$I2-_xlfn.STDEV.S('Pillar1 SOS'!$J$2:$J$45)</f>
        <v>1.6607890423420741</v>
      </c>
      <c r="L2" s="27">
        <f>'Pillar1 SOS'!$I2-2*_xlfn.STDEV.S('Pillar1 SOS'!$J$2:$J$45)</f>
        <v>1.5780091137507983</v>
      </c>
      <c r="M2">
        <v>11</v>
      </c>
      <c r="N2" s="3">
        <f>_xlfn.FORECAST.LINEAR(Table28[[#This Row],[TIME2]],Table28[Pillar1 Index],Table28[TIME2])</f>
        <v>1.7334914025386663</v>
      </c>
      <c r="O2" s="3">
        <f>Table28[[#This Row],[Pillar1 Index]]-Table28[[#This Row],[Pillar1 SOS2]]</f>
        <v>5.2929564875107582E-2</v>
      </c>
      <c r="P2" s="3">
        <f>N2-_xlfn.STDEV.S(Table28[Residuals2])</f>
        <v>1.6511505571396652</v>
      </c>
      <c r="Q2" s="3">
        <f>N2-2*_xlfn.STDEV.S(Table28[Residuals2])</f>
        <v>1.5688097117406641</v>
      </c>
    </row>
    <row r="3" spans="1:17" x14ac:dyDescent="0.2">
      <c r="A3" s="24">
        <v>2024</v>
      </c>
      <c r="B3" s="24">
        <v>3</v>
      </c>
      <c r="C3" s="25">
        <f>POWER(Pillar1_quarterly1018[[#This Row],[A. ASSET]]^10*Pillar1_quarterly1018[[#This Row],[B. ADAPTIVE CAPACITY]],1/10)</f>
        <v>1.7864209674137739</v>
      </c>
      <c r="D3" s="24" t="s">
        <v>38</v>
      </c>
      <c r="E3" s="24">
        <v>2</v>
      </c>
      <c r="F3" s="24"/>
      <c r="G3" s="24"/>
      <c r="H3" s="24">
        <v>43</v>
      </c>
      <c r="I3" s="22">
        <f>_xlfn.FORECAST.LINEAR(Table28[[#This Row],[TIME]],Table28[Pillar1 Index],Table28[TIME])</f>
        <v>1.7360693851512599</v>
      </c>
      <c r="J3" s="23">
        <f>'Pillar1 SOS'!$C3-'Pillar1 SOS'!$I3</f>
        <v>5.0351582262514016E-2</v>
      </c>
      <c r="K3" s="23">
        <f>'Pillar1 SOS'!$I3-_xlfn.STDEV.S('Pillar1 SOS'!$J$2:$J$45)</f>
        <v>1.6532894565599838</v>
      </c>
      <c r="L3" s="25">
        <f>'Pillar1 SOS'!$I3-2*_xlfn.STDEV.S('Pillar1 SOS'!$J$2:$J$45)</f>
        <v>1.570509527968708</v>
      </c>
      <c r="M3">
        <v>11</v>
      </c>
      <c r="N3" s="3">
        <f>_xlfn.FORECAST.LINEAR(Table28[[#This Row],[TIME2]],Table28[Pillar1 Index],Table28[TIME2])</f>
        <v>1.7334914025386663</v>
      </c>
      <c r="O3" s="3">
        <f>Table28[[#This Row],[Pillar1 Index]]-Table28[[#This Row],[Pillar1 SOS2]]</f>
        <v>5.2929564875107582E-2</v>
      </c>
      <c r="P3" s="3">
        <f>N3-_xlfn.STDEV.S(Table28[Residuals2])</f>
        <v>1.6511505571396652</v>
      </c>
      <c r="Q3" s="3">
        <f>N3-2*_xlfn.STDEV.S(Table28[Residuals2])</f>
        <v>1.5688097117406641</v>
      </c>
    </row>
    <row r="4" spans="1:17" x14ac:dyDescent="0.2">
      <c r="A4" s="22">
        <v>2024</v>
      </c>
      <c r="B4" s="22">
        <v>2</v>
      </c>
      <c r="C4" s="23">
        <f>POWER(Pillar1_quarterly1018[[#This Row],[A. ASSET]]^10*Pillar1_quarterly1018[[#This Row],[B. ADAPTIVE CAPACITY]],1/10)</f>
        <v>1.7864209674137739</v>
      </c>
      <c r="D4" s="22" t="s">
        <v>38</v>
      </c>
      <c r="E4" s="22">
        <v>2</v>
      </c>
      <c r="F4" s="22"/>
      <c r="G4" s="22"/>
      <c r="H4" s="22">
        <v>42</v>
      </c>
      <c r="I4" s="22">
        <f>_xlfn.FORECAST.LINEAR(Table28[[#This Row],[TIME]],Table28[Pillar1 Index],Table28[TIME])</f>
        <v>1.7285697993691695</v>
      </c>
      <c r="J4" s="23">
        <f>'Pillar1 SOS'!$C4-'Pillar1 SOS'!$I4</f>
        <v>5.7851168044604329E-2</v>
      </c>
      <c r="K4" s="23">
        <f>'Pillar1 SOS'!$I4-_xlfn.STDEV.S('Pillar1 SOS'!$J$2:$J$45)</f>
        <v>1.6457898707778935</v>
      </c>
      <c r="L4" s="23">
        <f>'Pillar1 SOS'!$I4-2*_xlfn.STDEV.S('Pillar1 SOS'!$J$2:$J$45)</f>
        <v>1.5630099421866177</v>
      </c>
      <c r="M4">
        <v>11</v>
      </c>
      <c r="N4" s="3">
        <f>_xlfn.FORECAST.LINEAR(Table28[[#This Row],[TIME2]],Table28[Pillar1 Index],Table28[TIME2])</f>
        <v>1.7334914025386663</v>
      </c>
      <c r="O4" s="3">
        <f>Table28[[#This Row],[Pillar1 Index]]-Table28[[#This Row],[Pillar1 SOS2]]</f>
        <v>5.2929564875107582E-2</v>
      </c>
      <c r="P4" s="3">
        <f>N4-_xlfn.STDEV.S(Table28[Residuals2])</f>
        <v>1.6511505571396652</v>
      </c>
      <c r="Q4" s="3">
        <f>N4-2*_xlfn.STDEV.S(Table28[Residuals2])</f>
        <v>1.5688097117406641</v>
      </c>
    </row>
    <row r="5" spans="1:17" x14ac:dyDescent="0.2">
      <c r="A5" s="24">
        <v>2024</v>
      </c>
      <c r="B5" s="24">
        <v>1</v>
      </c>
      <c r="C5" s="25">
        <f>POWER(Pillar1_quarterly1018[[#This Row],[A. ASSET]]^10*Pillar1_quarterly1018[[#This Row],[B. ADAPTIVE CAPACITY]],1/10)</f>
        <v>1.7864209674137739</v>
      </c>
      <c r="D5" s="24"/>
      <c r="E5" s="24"/>
      <c r="F5" s="24"/>
      <c r="G5" s="24"/>
      <c r="H5" s="24">
        <v>41</v>
      </c>
      <c r="I5" s="22">
        <f>_xlfn.FORECAST.LINEAR(Table28[[#This Row],[TIME]],Table28[Pillar1 Index],Table28[TIME])</f>
        <v>1.7210702135870792</v>
      </c>
      <c r="J5" s="23">
        <f>'Pillar1 SOS'!$C5-'Pillar1 SOS'!$I5</f>
        <v>6.5350753826694641E-2</v>
      </c>
      <c r="K5" s="23">
        <f>'Pillar1 SOS'!$I5-_xlfn.STDEV.S('Pillar1 SOS'!$J$2:$J$45)</f>
        <v>1.6382902849958032</v>
      </c>
      <c r="L5" s="25">
        <f>'Pillar1 SOS'!$I5-2*_xlfn.STDEV.S('Pillar1 SOS'!$J$2:$J$45)</f>
        <v>1.5555103564045274</v>
      </c>
      <c r="M5">
        <v>11</v>
      </c>
      <c r="N5" s="3">
        <f>_xlfn.FORECAST.LINEAR(Table28[[#This Row],[TIME2]],Table28[Pillar1 Index],Table28[TIME2])</f>
        <v>1.7334914025386663</v>
      </c>
      <c r="O5" s="3">
        <f>Table28[[#This Row],[Pillar1 Index]]-Table28[[#This Row],[Pillar1 SOS2]]</f>
        <v>5.2929564875107582E-2</v>
      </c>
      <c r="P5" s="3">
        <f>N5-_xlfn.STDEV.S(Table28[Residuals2])</f>
        <v>1.6511505571396652</v>
      </c>
      <c r="Q5" s="3">
        <f>N5-2*_xlfn.STDEV.S(Table28[Residuals2])</f>
        <v>1.5688097117406641</v>
      </c>
    </row>
    <row r="6" spans="1:17" x14ac:dyDescent="0.2">
      <c r="A6" s="22">
        <v>2023</v>
      </c>
      <c r="B6" s="22">
        <v>4</v>
      </c>
      <c r="C6" s="23">
        <f>POWER(Pillar1_quarterly1018[[#This Row],[A. ASSET]]^10*Pillar1_quarterly1018[[#This Row],[B. ADAPTIVE CAPACITY]],1/10)</f>
        <v>1.7412788557569503</v>
      </c>
      <c r="D6" s="22"/>
      <c r="E6" s="22"/>
      <c r="F6" s="22"/>
      <c r="G6" s="22"/>
      <c r="H6" s="22">
        <v>40</v>
      </c>
      <c r="I6" s="22">
        <f>_xlfn.FORECAST.LINEAR(Table28[[#This Row],[TIME]],Table28[Pillar1 Index],Table28[TIME])</f>
        <v>1.7135706278049887</v>
      </c>
      <c r="J6" s="23">
        <f>'Pillar1 SOS'!$C6-'Pillar1 SOS'!$I6</f>
        <v>2.7708227951961595E-2</v>
      </c>
      <c r="K6" s="23">
        <f>'Pillar1 SOS'!$I6-_xlfn.STDEV.S('Pillar1 SOS'!$J$2:$J$45)</f>
        <v>1.6307906992137127</v>
      </c>
      <c r="L6" s="23">
        <f>'Pillar1 SOS'!$I6-2*_xlfn.STDEV.S('Pillar1 SOS'!$J$2:$J$45)</f>
        <v>1.5480107706224369</v>
      </c>
      <c r="M6">
        <v>10</v>
      </c>
      <c r="N6" s="3">
        <f>_xlfn.FORECAST.LINEAR(Table28[[#This Row],[TIME2]],Table28[Pillar1 Index],Table28[TIME2])</f>
        <v>1.7032586973546147</v>
      </c>
      <c r="O6" s="3">
        <f>Table28[[#This Row],[Pillar1 Index]]-Table28[[#This Row],[Pillar1 SOS2]]</f>
        <v>3.8020158402335635E-2</v>
      </c>
      <c r="P6" s="3">
        <f>N6-_xlfn.STDEV.S(Table28[Residuals2])</f>
        <v>1.6209178519556136</v>
      </c>
      <c r="Q6" s="3">
        <f>N6-2*_xlfn.STDEV.S(Table28[Residuals2])</f>
        <v>1.5385770065566124</v>
      </c>
    </row>
    <row r="7" spans="1:17" x14ac:dyDescent="0.2">
      <c r="A7" s="24">
        <v>2023</v>
      </c>
      <c r="B7" s="24">
        <v>3</v>
      </c>
      <c r="C7" s="25">
        <f>POWER(Pillar1_quarterly1018[[#This Row],[A. ASSET]]^10*Pillar1_quarterly1018[[#This Row],[B. ADAPTIVE CAPACITY]],1/10)</f>
        <v>1.7412788557569503</v>
      </c>
      <c r="D7" s="24"/>
      <c r="E7" s="24"/>
      <c r="F7" s="24"/>
      <c r="G7" s="24"/>
      <c r="H7" s="24">
        <v>39</v>
      </c>
      <c r="I7" s="22">
        <f>_xlfn.FORECAST.LINEAR(Table28[[#This Row],[TIME]],Table28[Pillar1 Index],Table28[TIME])</f>
        <v>1.7060710420228986</v>
      </c>
      <c r="J7" s="23">
        <f>'Pillar1 SOS'!$C7-'Pillar1 SOS'!$I7</f>
        <v>3.5207813734051685E-2</v>
      </c>
      <c r="K7" s="23">
        <f>'Pillar1 SOS'!$I7-_xlfn.STDEV.S('Pillar1 SOS'!$J$2:$J$45)</f>
        <v>1.6232911134316226</v>
      </c>
      <c r="L7" s="25">
        <f>'Pillar1 SOS'!$I7-2*_xlfn.STDEV.S('Pillar1 SOS'!$J$2:$J$45)</f>
        <v>1.5405111848403468</v>
      </c>
      <c r="M7">
        <v>10</v>
      </c>
      <c r="N7" s="3">
        <f>_xlfn.FORECAST.LINEAR(Table28[[#This Row],[TIME2]],Table28[Pillar1 Index],Table28[TIME2])</f>
        <v>1.7032586973546147</v>
      </c>
      <c r="O7" s="3">
        <f>Table28[[#This Row],[Pillar1 Index]]-Table28[[#This Row],[Pillar1 SOS2]]</f>
        <v>3.8020158402335635E-2</v>
      </c>
      <c r="P7" s="3">
        <f>N7-_xlfn.STDEV.S(Table28[Residuals2])</f>
        <v>1.6209178519556136</v>
      </c>
      <c r="Q7" s="3">
        <f>N7-2*_xlfn.STDEV.S(Table28[Residuals2])</f>
        <v>1.5385770065566124</v>
      </c>
    </row>
    <row r="8" spans="1:17" x14ac:dyDescent="0.2">
      <c r="A8" s="22">
        <v>2023</v>
      </c>
      <c r="B8" s="22">
        <v>2</v>
      </c>
      <c r="C8" s="23">
        <f>POWER(Pillar1_quarterly1018[[#This Row],[A. ASSET]]^10*Pillar1_quarterly1018[[#This Row],[B. ADAPTIVE CAPACITY]],1/10)</f>
        <v>1.7412788557569503</v>
      </c>
      <c r="D8" s="22" t="s">
        <v>35</v>
      </c>
      <c r="E8" s="22">
        <v>2</v>
      </c>
      <c r="F8" s="22"/>
      <c r="G8" s="22"/>
      <c r="H8" s="22">
        <v>38</v>
      </c>
      <c r="I8" s="22">
        <f>_xlfn.FORECAST.LINEAR(Table28[[#This Row],[TIME]],Table28[Pillar1 Index],Table28[TIME])</f>
        <v>1.6985714562408081</v>
      </c>
      <c r="J8" s="23">
        <f>'Pillar1 SOS'!$C8-'Pillar1 SOS'!$I8</f>
        <v>4.2707399516142219E-2</v>
      </c>
      <c r="K8" s="23">
        <f>'Pillar1 SOS'!$I8-_xlfn.STDEV.S('Pillar1 SOS'!$J$2:$J$45)</f>
        <v>1.615791527649532</v>
      </c>
      <c r="L8" s="23">
        <f>'Pillar1 SOS'!$I8-2*_xlfn.STDEV.S('Pillar1 SOS'!$J$2:$J$45)</f>
        <v>1.5330115990582562</v>
      </c>
      <c r="M8">
        <v>10</v>
      </c>
      <c r="N8" s="3">
        <f>_xlfn.FORECAST.LINEAR(Table28[[#This Row],[TIME2]],Table28[Pillar1 Index],Table28[TIME2])</f>
        <v>1.7032586973546147</v>
      </c>
      <c r="O8" s="3">
        <f>Table28[[#This Row],[Pillar1 Index]]-Table28[[#This Row],[Pillar1 SOS2]]</f>
        <v>3.8020158402335635E-2</v>
      </c>
      <c r="P8" s="3">
        <f>N8-_xlfn.STDEV.S(Table28[Residuals2])</f>
        <v>1.6209178519556136</v>
      </c>
      <c r="Q8" s="3">
        <f>N8-2*_xlfn.STDEV.S(Table28[Residuals2])</f>
        <v>1.5385770065566124</v>
      </c>
    </row>
    <row r="9" spans="1:17" x14ac:dyDescent="0.2">
      <c r="A9" s="24">
        <v>2023</v>
      </c>
      <c r="B9" s="24">
        <v>1</v>
      </c>
      <c r="C9" s="25">
        <f>POWER(Pillar1_quarterly1018[[#This Row],[A. ASSET]]^10*Pillar1_quarterly1018[[#This Row],[B. ADAPTIVE CAPACITY]],1/10)</f>
        <v>1.7412788557569503</v>
      </c>
      <c r="D9" s="24"/>
      <c r="E9" s="24"/>
      <c r="F9" s="24"/>
      <c r="G9" s="24"/>
      <c r="H9" s="24">
        <v>37</v>
      </c>
      <c r="I9" s="22">
        <f>_xlfn.FORECAST.LINEAR(Table28[[#This Row],[TIME]],Table28[Pillar1 Index],Table28[TIME])</f>
        <v>1.691071870458718</v>
      </c>
      <c r="J9" s="23">
        <f>'Pillar1 SOS'!$C9-'Pillar1 SOS'!$I9</f>
        <v>5.0206985298232309E-2</v>
      </c>
      <c r="K9" s="23">
        <f>'Pillar1 SOS'!$I9-_xlfn.STDEV.S('Pillar1 SOS'!$J$2:$J$45)</f>
        <v>1.608291941867442</v>
      </c>
      <c r="L9" s="25">
        <f>'Pillar1 SOS'!$I9-2*_xlfn.STDEV.S('Pillar1 SOS'!$J$2:$J$45)</f>
        <v>1.5255120132761661</v>
      </c>
      <c r="M9">
        <v>10</v>
      </c>
      <c r="N9" s="3">
        <f>_xlfn.FORECAST.LINEAR(Table28[[#This Row],[TIME2]],Table28[Pillar1 Index],Table28[TIME2])</f>
        <v>1.7032586973546147</v>
      </c>
      <c r="O9" s="3">
        <f>Table28[[#This Row],[Pillar1 Index]]-Table28[[#This Row],[Pillar1 SOS2]]</f>
        <v>3.8020158402335635E-2</v>
      </c>
      <c r="P9" s="3">
        <f>N9-_xlfn.STDEV.S(Table28[Residuals2])</f>
        <v>1.6209178519556136</v>
      </c>
      <c r="Q9" s="3">
        <f>N9-2*_xlfn.STDEV.S(Table28[Residuals2])</f>
        <v>1.5385770065566124</v>
      </c>
    </row>
    <row r="10" spans="1:17" x14ac:dyDescent="0.2">
      <c r="A10" s="22">
        <v>2022</v>
      </c>
      <c r="B10" s="22">
        <v>4</v>
      </c>
      <c r="C10" s="23">
        <f>POWER(Pillar1_quarterly1018[[#This Row],[A. ASSET]]^10*Pillar1_quarterly1018[[#This Row],[B. ADAPTIVE CAPACITY]],1/10)</f>
        <v>1.7760168409181365</v>
      </c>
      <c r="D10" s="22"/>
      <c r="E10" s="22"/>
      <c r="F10" s="22"/>
      <c r="G10" s="22"/>
      <c r="H10" s="22">
        <v>36</v>
      </c>
      <c r="I10" s="22">
        <f>_xlfn.FORECAST.LINEAR(Table28[[#This Row],[TIME]],Table28[Pillar1 Index],Table28[TIME])</f>
        <v>1.6835722846766275</v>
      </c>
      <c r="J10" s="23">
        <f>'Pillar1 SOS'!$C10-'Pillar1 SOS'!$I10</f>
        <v>9.2444556241509046E-2</v>
      </c>
      <c r="K10" s="23">
        <f>'Pillar1 SOS'!$I10-_xlfn.STDEV.S('Pillar1 SOS'!$J$2:$J$45)</f>
        <v>1.6007923560853514</v>
      </c>
      <c r="L10" s="23">
        <f>'Pillar1 SOS'!$I10-2*_xlfn.STDEV.S('Pillar1 SOS'!$J$2:$J$45)</f>
        <v>1.5180124274940756</v>
      </c>
      <c r="M10">
        <v>9</v>
      </c>
      <c r="N10" s="3">
        <f>_xlfn.FORECAST.LINEAR(Table28[[#This Row],[TIME2]],Table28[Pillar1 Index],Table28[TIME2])</f>
        <v>1.673025992170563</v>
      </c>
      <c r="O10" s="3">
        <f>Table28[[#This Row],[Pillar1 Index]]-Table28[[#This Row],[Pillar1 SOS2]]</f>
        <v>0.10299084874757347</v>
      </c>
      <c r="P10" s="3">
        <f>N10-_xlfn.STDEV.S(Table28[Residuals2])</f>
        <v>1.5906851467715619</v>
      </c>
      <c r="Q10" s="3">
        <f>N10-2*_xlfn.STDEV.S(Table28[Residuals2])</f>
        <v>1.5083443013725608</v>
      </c>
    </row>
    <row r="11" spans="1:17" x14ac:dyDescent="0.2">
      <c r="A11" s="24">
        <v>2022</v>
      </c>
      <c r="B11" s="24">
        <v>3</v>
      </c>
      <c r="C11" s="25">
        <f>POWER(Pillar1_quarterly1018[[#This Row],[A. ASSET]]^10*Pillar1_quarterly1018[[#This Row],[B. ADAPTIVE CAPACITY]],1/10)</f>
        <v>1.7760168409181365</v>
      </c>
      <c r="D11" s="24" t="s">
        <v>53</v>
      </c>
      <c r="E11" s="24">
        <v>2</v>
      </c>
      <c r="F11" s="24"/>
      <c r="G11" s="24"/>
      <c r="H11" s="24">
        <v>35</v>
      </c>
      <c r="I11" s="22">
        <f>_xlfn.FORECAST.LINEAR(Table28[[#This Row],[TIME]],Table28[Pillar1 Index],Table28[TIME])</f>
        <v>1.6760726988945374</v>
      </c>
      <c r="J11" s="23">
        <f>'Pillar1 SOS'!$C11-'Pillar1 SOS'!$I11</f>
        <v>9.9944142023599136E-2</v>
      </c>
      <c r="K11" s="23">
        <f>'Pillar1 SOS'!$I11-_xlfn.STDEV.S('Pillar1 SOS'!$J$2:$J$45)</f>
        <v>1.5932927703032613</v>
      </c>
      <c r="L11" s="25">
        <f>'Pillar1 SOS'!$I11-2*_xlfn.STDEV.S('Pillar1 SOS'!$J$2:$J$45)</f>
        <v>1.5105128417119855</v>
      </c>
      <c r="M11">
        <v>9</v>
      </c>
      <c r="N11" s="3">
        <f>_xlfn.FORECAST.LINEAR(Table28[[#This Row],[TIME2]],Table28[Pillar1 Index],Table28[TIME2])</f>
        <v>1.673025992170563</v>
      </c>
      <c r="O11" s="3">
        <f>Table28[[#This Row],[Pillar1 Index]]-Table28[[#This Row],[Pillar1 SOS2]]</f>
        <v>0.10299084874757347</v>
      </c>
      <c r="P11" s="3">
        <f>N11-_xlfn.STDEV.S(Table28[Residuals2])</f>
        <v>1.5906851467715619</v>
      </c>
      <c r="Q11" s="3">
        <f>N11-2*_xlfn.STDEV.S(Table28[Residuals2])</f>
        <v>1.5083443013725608</v>
      </c>
    </row>
    <row r="12" spans="1:17" x14ac:dyDescent="0.2">
      <c r="A12" s="22">
        <v>2022</v>
      </c>
      <c r="B12" s="22">
        <v>2</v>
      </c>
      <c r="C12" s="23">
        <f>POWER(Pillar1_quarterly1018[[#This Row],[A. ASSET]]^10*Pillar1_quarterly1018[[#This Row],[B. ADAPTIVE CAPACITY]],1/10)</f>
        <v>1.7760168409181365</v>
      </c>
      <c r="D12" s="22" t="s">
        <v>53</v>
      </c>
      <c r="E12" s="22">
        <v>2</v>
      </c>
      <c r="F12" s="22"/>
      <c r="G12" s="22"/>
      <c r="H12" s="22">
        <v>34</v>
      </c>
      <c r="I12" s="22">
        <f>_xlfn.FORECAST.LINEAR(Table28[[#This Row],[TIME]],Table28[Pillar1 Index],Table28[TIME])</f>
        <v>1.6685731131124468</v>
      </c>
      <c r="J12" s="23">
        <f>'Pillar1 SOS'!$C12-'Pillar1 SOS'!$I12</f>
        <v>0.10744372780568967</v>
      </c>
      <c r="K12" s="23">
        <f>'Pillar1 SOS'!$I12-_xlfn.STDEV.S('Pillar1 SOS'!$J$2:$J$45)</f>
        <v>1.5857931845211708</v>
      </c>
      <c r="L12" s="23">
        <f>'Pillar1 SOS'!$I12-2*_xlfn.STDEV.S('Pillar1 SOS'!$J$2:$J$45)</f>
        <v>1.503013255929895</v>
      </c>
      <c r="M12">
        <v>9</v>
      </c>
      <c r="N12" s="3">
        <f>_xlfn.FORECAST.LINEAR(Table28[[#This Row],[TIME2]],Table28[Pillar1 Index],Table28[TIME2])</f>
        <v>1.673025992170563</v>
      </c>
      <c r="O12" s="3">
        <f>Table28[[#This Row],[Pillar1 Index]]-Table28[[#This Row],[Pillar1 SOS2]]</f>
        <v>0.10299084874757347</v>
      </c>
      <c r="P12" s="3">
        <f>N12-_xlfn.STDEV.S(Table28[Residuals2])</f>
        <v>1.5906851467715619</v>
      </c>
      <c r="Q12" s="3">
        <f>N12-2*_xlfn.STDEV.S(Table28[Residuals2])</f>
        <v>1.5083443013725608</v>
      </c>
    </row>
    <row r="13" spans="1:17" x14ac:dyDescent="0.2">
      <c r="A13" s="24">
        <v>2022</v>
      </c>
      <c r="B13" s="24">
        <v>1</v>
      </c>
      <c r="C13" s="25">
        <f>POWER(Pillar1_quarterly1018[[#This Row],[A. ASSET]]^10*Pillar1_quarterly1018[[#This Row],[B. ADAPTIVE CAPACITY]],1/10)</f>
        <v>1.7760168409181365</v>
      </c>
      <c r="D13" s="24"/>
      <c r="E13" s="24"/>
      <c r="F13" s="24"/>
      <c r="G13" s="24"/>
      <c r="H13" s="24">
        <v>33</v>
      </c>
      <c r="I13" s="22">
        <f>_xlfn.FORECAST.LINEAR(Table28[[#This Row],[TIME]],Table28[Pillar1 Index],Table28[TIME])</f>
        <v>1.6610735273303567</v>
      </c>
      <c r="J13" s="23">
        <f>'Pillar1 SOS'!$C13-'Pillar1 SOS'!$I13</f>
        <v>0.11494331358777976</v>
      </c>
      <c r="K13" s="23">
        <f>'Pillar1 SOS'!$I13-_xlfn.STDEV.S('Pillar1 SOS'!$J$2:$J$45)</f>
        <v>1.5782935987390807</v>
      </c>
      <c r="L13" s="25">
        <f>'Pillar1 SOS'!$I13-2*_xlfn.STDEV.S('Pillar1 SOS'!$J$2:$J$45)</f>
        <v>1.4955136701478049</v>
      </c>
      <c r="M13">
        <v>9</v>
      </c>
      <c r="N13" s="3">
        <f>_xlfn.FORECAST.LINEAR(Table28[[#This Row],[TIME2]],Table28[Pillar1 Index],Table28[TIME2])</f>
        <v>1.673025992170563</v>
      </c>
      <c r="O13" s="3">
        <f>Table28[[#This Row],[Pillar1 Index]]-Table28[[#This Row],[Pillar1 SOS2]]</f>
        <v>0.10299084874757347</v>
      </c>
      <c r="P13" s="3">
        <f>N13-_xlfn.STDEV.S(Table28[Residuals2])</f>
        <v>1.5906851467715619</v>
      </c>
      <c r="Q13" s="3">
        <f>N13-2*_xlfn.STDEV.S(Table28[Residuals2])</f>
        <v>1.5083443013725608</v>
      </c>
    </row>
    <row r="14" spans="1:17" x14ac:dyDescent="0.2">
      <c r="A14" s="22">
        <v>2021</v>
      </c>
      <c r="B14" s="22">
        <v>4</v>
      </c>
      <c r="C14" s="23">
        <f>POWER(Pillar1_quarterly1018[[#This Row],[A. ASSET]]^10*Pillar1_quarterly1018[[#This Row],[B. ADAPTIVE CAPACITY]],1/10)</f>
        <v>1.5266729093188942</v>
      </c>
      <c r="D14" s="22"/>
      <c r="E14" s="22"/>
      <c r="F14" s="22"/>
      <c r="G14" s="22"/>
      <c r="H14" s="22">
        <v>32</v>
      </c>
      <c r="I14" s="22">
        <f>_xlfn.FORECAST.LINEAR(Table28[[#This Row],[TIME]],Table28[Pillar1 Index],Table28[TIME])</f>
        <v>1.6535739415482662</v>
      </c>
      <c r="J14" s="23">
        <f>'Pillar1 SOS'!$C14-'Pillar1 SOS'!$I14</f>
        <v>-0.12690103222937199</v>
      </c>
      <c r="K14" s="23">
        <f>'Pillar1 SOS'!$I14-_xlfn.STDEV.S('Pillar1 SOS'!$J$2:$J$45)</f>
        <v>1.5707940129569902</v>
      </c>
      <c r="L14" s="23">
        <f>'Pillar1 SOS'!$I14-2*_xlfn.STDEV.S('Pillar1 SOS'!$J$2:$J$45)</f>
        <v>1.4880140843657144</v>
      </c>
      <c r="M14">
        <v>8</v>
      </c>
      <c r="N14" s="3">
        <f>_xlfn.FORECAST.LINEAR(Table28[[#This Row],[TIME2]],Table28[Pillar1 Index],Table28[TIME2])</f>
        <v>1.6427932869865114</v>
      </c>
      <c r="O14" s="3">
        <f>Table28[[#This Row],[Pillar1 Index]]-Table28[[#This Row],[Pillar1 SOS2]]</f>
        <v>-0.11612037766761718</v>
      </c>
      <c r="P14" s="3">
        <f>N14-_xlfn.STDEV.S(Table28[Residuals2])</f>
        <v>1.5604524415875103</v>
      </c>
      <c r="Q14" s="3">
        <f>N14-2*_xlfn.STDEV.S(Table28[Residuals2])</f>
        <v>1.4781115961885092</v>
      </c>
    </row>
    <row r="15" spans="1:17" x14ac:dyDescent="0.2">
      <c r="A15" s="24">
        <v>2021</v>
      </c>
      <c r="B15" s="24">
        <v>3</v>
      </c>
      <c r="C15" s="25">
        <f>POWER(Pillar1_quarterly1018[[#This Row],[A. ASSET]]^10*Pillar1_quarterly1018[[#This Row],[B. ADAPTIVE CAPACITY]],1/10)</f>
        <v>1.5266729093188942</v>
      </c>
      <c r="D15" s="24" t="s">
        <v>53</v>
      </c>
      <c r="E15" s="24">
        <v>3</v>
      </c>
      <c r="F15" s="24"/>
      <c r="G15" s="24"/>
      <c r="H15" s="24">
        <v>31</v>
      </c>
      <c r="I15" s="22">
        <f>_xlfn.FORECAST.LINEAR(Table28[[#This Row],[TIME]],Table28[Pillar1 Index],Table28[TIME])</f>
        <v>1.6460743557661761</v>
      </c>
      <c r="J15" s="23">
        <f>'Pillar1 SOS'!$C15-'Pillar1 SOS'!$I15</f>
        <v>-0.1194014464472819</v>
      </c>
      <c r="K15" s="23">
        <f>'Pillar1 SOS'!$I15-_xlfn.STDEV.S('Pillar1 SOS'!$J$2:$J$45)</f>
        <v>1.5632944271749001</v>
      </c>
      <c r="L15" s="25">
        <f>'Pillar1 SOS'!$I15-2*_xlfn.STDEV.S('Pillar1 SOS'!$J$2:$J$45)</f>
        <v>1.4805144985836243</v>
      </c>
      <c r="M15">
        <v>8</v>
      </c>
      <c r="N15" s="3">
        <f>_xlfn.FORECAST.LINEAR(Table28[[#This Row],[TIME2]],Table28[Pillar1 Index],Table28[TIME2])</f>
        <v>1.6427932869865114</v>
      </c>
      <c r="O15" s="3">
        <f>Table28[[#This Row],[Pillar1 Index]]-Table28[[#This Row],[Pillar1 SOS2]]</f>
        <v>-0.11612037766761718</v>
      </c>
      <c r="P15" s="3">
        <f>N15-_xlfn.STDEV.S(Table28[Residuals2])</f>
        <v>1.5604524415875103</v>
      </c>
      <c r="Q15" s="3">
        <f>N15-2*_xlfn.STDEV.S(Table28[Residuals2])</f>
        <v>1.4781115961885092</v>
      </c>
    </row>
    <row r="16" spans="1:17" x14ac:dyDescent="0.2">
      <c r="A16" s="22">
        <v>2021</v>
      </c>
      <c r="B16" s="22">
        <v>2</v>
      </c>
      <c r="C16" s="23">
        <f>POWER(Pillar1_quarterly1018[[#This Row],[A. ASSET]]^10*Pillar1_quarterly1018[[#This Row],[B. ADAPTIVE CAPACITY]],1/10)</f>
        <v>1.5266729093188942</v>
      </c>
      <c r="D16" s="22" t="s">
        <v>53</v>
      </c>
      <c r="E16" s="22">
        <v>2</v>
      </c>
      <c r="F16" s="22"/>
      <c r="G16" s="22"/>
      <c r="H16" s="22">
        <v>30</v>
      </c>
      <c r="I16" s="22">
        <f>_xlfn.FORECAST.LINEAR(Table28[[#This Row],[TIME]],Table28[Pillar1 Index],Table28[TIME])</f>
        <v>1.6385747699840856</v>
      </c>
      <c r="J16" s="23">
        <f>'Pillar1 SOS'!$C16-'Pillar1 SOS'!$I16</f>
        <v>-0.11190186066519137</v>
      </c>
      <c r="K16" s="23">
        <f>'Pillar1 SOS'!$I16-_xlfn.STDEV.S('Pillar1 SOS'!$J$2:$J$45)</f>
        <v>1.5557948413928095</v>
      </c>
      <c r="L16" s="23">
        <f>'Pillar1 SOS'!$I16-2*_xlfn.STDEV.S('Pillar1 SOS'!$J$2:$J$45)</f>
        <v>1.4730149128015337</v>
      </c>
      <c r="M16">
        <v>8</v>
      </c>
      <c r="N16" s="3">
        <f>_xlfn.FORECAST.LINEAR(Table28[[#This Row],[TIME2]],Table28[Pillar1 Index],Table28[TIME2])</f>
        <v>1.6427932869865114</v>
      </c>
      <c r="O16" s="3">
        <f>Table28[[#This Row],[Pillar1 Index]]-Table28[[#This Row],[Pillar1 SOS2]]</f>
        <v>-0.11612037766761718</v>
      </c>
      <c r="P16" s="3">
        <f>N16-_xlfn.STDEV.S(Table28[Residuals2])</f>
        <v>1.5604524415875103</v>
      </c>
      <c r="Q16" s="3">
        <f>N16-2*_xlfn.STDEV.S(Table28[Residuals2])</f>
        <v>1.4781115961885092</v>
      </c>
    </row>
    <row r="17" spans="1:17" x14ac:dyDescent="0.2">
      <c r="A17" s="24">
        <v>2021</v>
      </c>
      <c r="B17" s="24">
        <v>1</v>
      </c>
      <c r="C17" s="25">
        <f>POWER(Pillar1_quarterly1018[[#This Row],[A. ASSET]]^10*Pillar1_quarterly1018[[#This Row],[B. ADAPTIVE CAPACITY]],1/10)</f>
        <v>1.5266729093188942</v>
      </c>
      <c r="D17" s="24" t="s">
        <v>53</v>
      </c>
      <c r="E17" s="24">
        <v>2</v>
      </c>
      <c r="F17" s="24"/>
      <c r="G17" s="24"/>
      <c r="H17" s="24">
        <v>29</v>
      </c>
      <c r="I17" s="22">
        <f>_xlfn.FORECAST.LINEAR(Table28[[#This Row],[TIME]],Table28[Pillar1 Index],Table28[TIME])</f>
        <v>1.6310751842019955</v>
      </c>
      <c r="J17" s="23">
        <f>'Pillar1 SOS'!$C17-'Pillar1 SOS'!$I17</f>
        <v>-0.10440227488310128</v>
      </c>
      <c r="K17" s="23">
        <f>'Pillar1 SOS'!$I17-_xlfn.STDEV.S('Pillar1 SOS'!$J$2:$J$45)</f>
        <v>1.5482952556107195</v>
      </c>
      <c r="L17" s="25">
        <f>'Pillar1 SOS'!$I17-2*_xlfn.STDEV.S('Pillar1 SOS'!$J$2:$J$45)</f>
        <v>1.4655153270194436</v>
      </c>
      <c r="M17">
        <v>8</v>
      </c>
      <c r="N17" s="3">
        <f>_xlfn.FORECAST.LINEAR(Table28[[#This Row],[TIME2]],Table28[Pillar1 Index],Table28[TIME2])</f>
        <v>1.6427932869865114</v>
      </c>
      <c r="O17" s="3">
        <f>Table28[[#This Row],[Pillar1 Index]]-Table28[[#This Row],[Pillar1 SOS2]]</f>
        <v>-0.11612037766761718</v>
      </c>
      <c r="P17" s="3">
        <f>N17-_xlfn.STDEV.S(Table28[Residuals2])</f>
        <v>1.5604524415875103</v>
      </c>
      <c r="Q17" s="3">
        <f>N17-2*_xlfn.STDEV.S(Table28[Residuals2])</f>
        <v>1.4781115961885092</v>
      </c>
    </row>
    <row r="18" spans="1:17" x14ac:dyDescent="0.2">
      <c r="A18" s="22">
        <v>2020</v>
      </c>
      <c r="B18" s="22">
        <v>4</v>
      </c>
      <c r="C18" s="23">
        <f>POWER(Pillar1_quarterly1018[[#This Row],[A. ASSET]]^10*Pillar1_quarterly1018[[#This Row],[B. ADAPTIVE CAPACITY]],1/10)</f>
        <v>1.468201945021723</v>
      </c>
      <c r="D18" s="22" t="s">
        <v>38</v>
      </c>
      <c r="E18" s="22">
        <v>1</v>
      </c>
      <c r="F18" s="22"/>
      <c r="G18" s="22"/>
      <c r="H18" s="22">
        <v>28</v>
      </c>
      <c r="I18" s="22">
        <f>_xlfn.FORECAST.LINEAR(Table28[[#This Row],[TIME]],Table28[Pillar1 Index],Table28[TIME])</f>
        <v>1.623575598419905</v>
      </c>
      <c r="J18" s="23">
        <f>'Pillar1 SOS'!$C18-'Pillar1 SOS'!$I18</f>
        <v>-0.15537365339818199</v>
      </c>
      <c r="K18" s="23">
        <f>'Pillar1 SOS'!$I18-_xlfn.STDEV.S('Pillar1 SOS'!$J$2:$J$45)</f>
        <v>1.5407956698286289</v>
      </c>
      <c r="L18" s="23">
        <f>'Pillar1 SOS'!$I18-2*_xlfn.STDEV.S('Pillar1 SOS'!$J$2:$J$45)</f>
        <v>1.4580157412373531</v>
      </c>
      <c r="M18">
        <v>7</v>
      </c>
      <c r="N18" s="3">
        <f>_xlfn.FORECAST.LINEAR(Table28[[#This Row],[TIME2]],Table28[Pillar1 Index],Table28[TIME2])</f>
        <v>1.61256058180246</v>
      </c>
      <c r="O18" s="3">
        <f>Table28[[#This Row],[Pillar1 Index]]-Table28[[#This Row],[Pillar1 SOS2]]</f>
        <v>-0.14435863678073702</v>
      </c>
      <c r="P18" s="3">
        <f>N18-_xlfn.STDEV.S(Table28[Residuals2])</f>
        <v>1.5302197364034589</v>
      </c>
      <c r="Q18" s="3">
        <f>N18-2*_xlfn.STDEV.S(Table28[Residuals2])</f>
        <v>1.4478788910044578</v>
      </c>
    </row>
    <row r="19" spans="1:17" x14ac:dyDescent="0.2">
      <c r="A19" s="24">
        <v>2020</v>
      </c>
      <c r="B19" s="24">
        <v>3</v>
      </c>
      <c r="C19" s="25">
        <f>POWER(Pillar1_quarterly1018[[#This Row],[A. ASSET]]^10*Pillar1_quarterly1018[[#This Row],[B. ADAPTIVE CAPACITY]],1/10)</f>
        <v>1.468201945021723</v>
      </c>
      <c r="D19" s="24" t="s">
        <v>35</v>
      </c>
      <c r="E19" s="24">
        <v>1</v>
      </c>
      <c r="F19" s="24"/>
      <c r="G19" s="24"/>
      <c r="H19" s="24">
        <v>27</v>
      </c>
      <c r="I19" s="22">
        <f>_xlfn.FORECAST.LINEAR(Table28[[#This Row],[TIME]],Table28[Pillar1 Index],Table28[TIME])</f>
        <v>1.6160760126378146</v>
      </c>
      <c r="J19" s="23">
        <f>'Pillar1 SOS'!$C19-'Pillar1 SOS'!$I19</f>
        <v>-0.14787406761609168</v>
      </c>
      <c r="K19" s="23">
        <f>'Pillar1 SOS'!$I19-_xlfn.STDEV.S('Pillar1 SOS'!$J$2:$J$45)</f>
        <v>1.5332960840465386</v>
      </c>
      <c r="L19" s="25">
        <f>'Pillar1 SOS'!$I19-2*_xlfn.STDEV.S('Pillar1 SOS'!$J$2:$J$45)</f>
        <v>1.4505161554552628</v>
      </c>
      <c r="M19">
        <v>7</v>
      </c>
      <c r="N19" s="3">
        <f>_xlfn.FORECAST.LINEAR(Table28[[#This Row],[TIME2]],Table28[Pillar1 Index],Table28[TIME2])</f>
        <v>1.61256058180246</v>
      </c>
      <c r="O19" s="3">
        <f>Table28[[#This Row],[Pillar1 Index]]-Table28[[#This Row],[Pillar1 SOS2]]</f>
        <v>-0.14435863678073702</v>
      </c>
      <c r="P19" s="3">
        <f>N19-_xlfn.STDEV.S(Table28[Residuals2])</f>
        <v>1.5302197364034589</v>
      </c>
      <c r="Q19" s="3">
        <f>N19-2*_xlfn.STDEV.S(Table28[Residuals2])</f>
        <v>1.4478788910044578</v>
      </c>
    </row>
    <row r="20" spans="1:17" x14ac:dyDescent="0.2">
      <c r="A20" s="22">
        <v>2020</v>
      </c>
      <c r="B20" s="22">
        <v>2</v>
      </c>
      <c r="C20" s="23">
        <f>POWER(Pillar1_quarterly1018[[#This Row],[A. ASSET]]^10*Pillar1_quarterly1018[[#This Row],[B. ADAPTIVE CAPACITY]],1/10)</f>
        <v>1.468201945021723</v>
      </c>
      <c r="D20" s="22" t="s">
        <v>35</v>
      </c>
      <c r="E20" s="22">
        <v>2</v>
      </c>
      <c r="F20" s="22"/>
      <c r="G20" s="22"/>
      <c r="H20" s="22">
        <v>26</v>
      </c>
      <c r="I20" s="22">
        <f>_xlfn.FORECAST.LINEAR(Table28[[#This Row],[TIME]],Table28[Pillar1 Index],Table28[TIME])</f>
        <v>1.6085764268557243</v>
      </c>
      <c r="J20" s="23">
        <f>'Pillar1 SOS'!$C20-'Pillar1 SOS'!$I20</f>
        <v>-0.14037448183400136</v>
      </c>
      <c r="K20" s="23">
        <f>'Pillar1 SOS'!$I20-_xlfn.STDEV.S('Pillar1 SOS'!$J$2:$J$45)</f>
        <v>1.5257964982644483</v>
      </c>
      <c r="L20" s="23">
        <f>'Pillar1 SOS'!$I20-2*_xlfn.STDEV.S('Pillar1 SOS'!$J$2:$J$45)</f>
        <v>1.4430165696731725</v>
      </c>
      <c r="M20">
        <v>7</v>
      </c>
      <c r="N20" s="3">
        <f>_xlfn.FORECAST.LINEAR(Table28[[#This Row],[TIME2]],Table28[Pillar1 Index],Table28[TIME2])</f>
        <v>1.61256058180246</v>
      </c>
      <c r="O20" s="3">
        <f>Table28[[#This Row],[Pillar1 Index]]-Table28[[#This Row],[Pillar1 SOS2]]</f>
        <v>-0.14435863678073702</v>
      </c>
      <c r="P20" s="3">
        <f>N20-_xlfn.STDEV.S(Table28[Residuals2])</f>
        <v>1.5302197364034589</v>
      </c>
      <c r="Q20" s="3">
        <f>N20-2*_xlfn.STDEV.S(Table28[Residuals2])</f>
        <v>1.4478788910044578</v>
      </c>
    </row>
    <row r="21" spans="1:17" x14ac:dyDescent="0.2">
      <c r="A21" s="24">
        <v>2020</v>
      </c>
      <c r="B21" s="24">
        <v>1</v>
      </c>
      <c r="C21" s="25">
        <f>POWER(Pillar1_quarterly1018[[#This Row],[A. ASSET]]^10*Pillar1_quarterly1018[[#This Row],[B. ADAPTIVE CAPACITY]],1/10)</f>
        <v>1.468201945021723</v>
      </c>
      <c r="D21" s="24"/>
      <c r="E21" s="24"/>
      <c r="F21" s="24"/>
      <c r="G21" s="24"/>
      <c r="H21" s="24">
        <v>25</v>
      </c>
      <c r="I21" s="22">
        <f>_xlfn.FORECAST.LINEAR(Table28[[#This Row],[TIME]],Table28[Pillar1 Index],Table28[TIME])</f>
        <v>1.601076841073634</v>
      </c>
      <c r="J21" s="23">
        <f>'Pillar1 SOS'!$C21-'Pillar1 SOS'!$I21</f>
        <v>-0.13287489605191105</v>
      </c>
      <c r="K21" s="23">
        <f>'Pillar1 SOS'!$I21-_xlfn.STDEV.S('Pillar1 SOS'!$J$2:$J$45)</f>
        <v>1.518296912482358</v>
      </c>
      <c r="L21" s="25">
        <f>'Pillar1 SOS'!$I21-2*_xlfn.STDEV.S('Pillar1 SOS'!$J$2:$J$45)</f>
        <v>1.4355169838910822</v>
      </c>
      <c r="M21">
        <v>7</v>
      </c>
      <c r="N21" s="3">
        <f>_xlfn.FORECAST.LINEAR(Table28[[#This Row],[TIME2]],Table28[Pillar1 Index],Table28[TIME2])</f>
        <v>1.61256058180246</v>
      </c>
      <c r="O21" s="3">
        <f>Table28[[#This Row],[Pillar1 Index]]-Table28[[#This Row],[Pillar1 SOS2]]</f>
        <v>-0.14435863678073702</v>
      </c>
      <c r="P21" s="3">
        <f>N21-_xlfn.STDEV.S(Table28[Residuals2])</f>
        <v>1.5302197364034589</v>
      </c>
      <c r="Q21" s="3">
        <f>N21-2*_xlfn.STDEV.S(Table28[Residuals2])</f>
        <v>1.4478788910044578</v>
      </c>
    </row>
    <row r="22" spans="1:17" x14ac:dyDescent="0.2">
      <c r="A22" s="22">
        <v>2019</v>
      </c>
      <c r="B22" s="22">
        <v>4</v>
      </c>
      <c r="C22" s="23">
        <f>POWER(Pillar1_quarterly1018[[#This Row],[A. ASSET]]^10*Pillar1_quarterly1018[[#This Row],[B. ADAPTIVE CAPACITY]],1/10)</f>
        <v>1.5615221858834516</v>
      </c>
      <c r="D22" s="22"/>
      <c r="E22" s="22"/>
      <c r="F22" s="22"/>
      <c r="G22" s="22"/>
      <c r="H22" s="22">
        <v>24</v>
      </c>
      <c r="I22" s="22">
        <f>_xlfn.FORECAST.LINEAR(Table28[[#This Row],[TIME]],Table28[Pillar1 Index],Table28[TIME])</f>
        <v>1.5935772552915437</v>
      </c>
      <c r="J22" s="23">
        <f>'Pillar1 SOS'!$C22-'Pillar1 SOS'!$I22</f>
        <v>-3.2055069408092107E-2</v>
      </c>
      <c r="K22" s="23">
        <f>'Pillar1 SOS'!$I22-_xlfn.STDEV.S('Pillar1 SOS'!$J$2:$J$45)</f>
        <v>1.5107973267002677</v>
      </c>
      <c r="L22" s="23">
        <f>'Pillar1 SOS'!$I22-2*_xlfn.STDEV.S('Pillar1 SOS'!$J$2:$J$45)</f>
        <v>1.4280173981089919</v>
      </c>
      <c r="M22">
        <v>6</v>
      </c>
      <c r="N22" s="3">
        <f>_xlfn.FORECAST.LINEAR(Table28[[#This Row],[TIME2]],Table28[Pillar1 Index],Table28[TIME2])</f>
        <v>1.5823278766184083</v>
      </c>
      <c r="O22" s="3">
        <f>Table28[[#This Row],[Pillar1 Index]]-Table28[[#This Row],[Pillar1 SOS2]]</f>
        <v>-2.080569073495675E-2</v>
      </c>
      <c r="P22" s="3">
        <f>N22-_xlfn.STDEV.S(Table28[Residuals2])</f>
        <v>1.4999870312194072</v>
      </c>
      <c r="Q22" s="3">
        <f>N22-2*_xlfn.STDEV.S(Table28[Residuals2])</f>
        <v>1.4176461858204061</v>
      </c>
    </row>
    <row r="23" spans="1:17" x14ac:dyDescent="0.2">
      <c r="A23" s="24">
        <v>2019</v>
      </c>
      <c r="B23" s="24">
        <v>3</v>
      </c>
      <c r="C23" s="25">
        <f>POWER(Pillar1_quarterly1018[[#This Row],[A. ASSET]]^10*Pillar1_quarterly1018[[#This Row],[B. ADAPTIVE CAPACITY]],1/10)</f>
        <v>1.5615221858834516</v>
      </c>
      <c r="D23" s="24" t="s">
        <v>38</v>
      </c>
      <c r="E23" s="24">
        <v>1</v>
      </c>
      <c r="F23" s="24" t="s">
        <v>38</v>
      </c>
      <c r="G23" s="24">
        <v>1</v>
      </c>
      <c r="H23" s="24">
        <v>23</v>
      </c>
      <c r="I23" s="22">
        <f>_xlfn.FORECAST.LINEAR(Table28[[#This Row],[TIME]],Table28[Pillar1 Index],Table28[TIME])</f>
        <v>1.5860776695094534</v>
      </c>
      <c r="J23" s="23">
        <f>'Pillar1 SOS'!$C23-'Pillar1 SOS'!$I23</f>
        <v>-2.4555483626001795E-2</v>
      </c>
      <c r="K23" s="23">
        <f>'Pillar1 SOS'!$I23-_xlfn.STDEV.S('Pillar1 SOS'!$J$2:$J$45)</f>
        <v>1.5032977409181774</v>
      </c>
      <c r="L23" s="25">
        <f>'Pillar1 SOS'!$I23-2*_xlfn.STDEV.S('Pillar1 SOS'!$J$2:$J$45)</f>
        <v>1.4205178123269016</v>
      </c>
      <c r="M23">
        <v>6</v>
      </c>
      <c r="N23" s="3">
        <f>_xlfn.FORECAST.LINEAR(Table28[[#This Row],[TIME2]],Table28[Pillar1 Index],Table28[TIME2])</f>
        <v>1.5823278766184083</v>
      </c>
      <c r="O23" s="3">
        <f>Table28[[#This Row],[Pillar1 Index]]-Table28[[#This Row],[Pillar1 SOS2]]</f>
        <v>-2.080569073495675E-2</v>
      </c>
      <c r="P23" s="3">
        <f>N23-_xlfn.STDEV.S(Table28[Residuals2])</f>
        <v>1.4999870312194072</v>
      </c>
      <c r="Q23" s="3">
        <f>N23-2*_xlfn.STDEV.S(Table28[Residuals2])</f>
        <v>1.4176461858204061</v>
      </c>
    </row>
    <row r="24" spans="1:17" x14ac:dyDescent="0.2">
      <c r="A24" s="22">
        <v>2019</v>
      </c>
      <c r="B24" s="22">
        <v>2</v>
      </c>
      <c r="C24" s="23">
        <f>POWER(Pillar1_quarterly1018[[#This Row],[A. ASSET]]^10*Pillar1_quarterly1018[[#This Row],[B. ADAPTIVE CAPACITY]],1/10)</f>
        <v>1.5615221858834516</v>
      </c>
      <c r="D24" s="22" t="s">
        <v>38</v>
      </c>
      <c r="E24" s="22">
        <v>2</v>
      </c>
      <c r="F24" s="22"/>
      <c r="G24" s="22"/>
      <c r="H24" s="22">
        <v>22</v>
      </c>
      <c r="I24" s="22">
        <f>_xlfn.FORECAST.LINEAR(Table28[[#This Row],[TIME]],Table28[Pillar1 Index],Table28[TIME])</f>
        <v>1.5785780837273631</v>
      </c>
      <c r="J24" s="23">
        <f>'Pillar1 SOS'!$C24-'Pillar1 SOS'!$I24</f>
        <v>-1.7055897843911483E-2</v>
      </c>
      <c r="K24" s="23">
        <f>'Pillar1 SOS'!$I24-_xlfn.STDEV.S('Pillar1 SOS'!$J$2:$J$45)</f>
        <v>1.495798155136087</v>
      </c>
      <c r="L24" s="23">
        <f>'Pillar1 SOS'!$I24-2*_xlfn.STDEV.S('Pillar1 SOS'!$J$2:$J$45)</f>
        <v>1.4130182265448112</v>
      </c>
      <c r="M24">
        <v>6</v>
      </c>
      <c r="N24" s="3">
        <f>_xlfn.FORECAST.LINEAR(Table28[[#This Row],[TIME2]],Table28[Pillar1 Index],Table28[TIME2])</f>
        <v>1.5823278766184083</v>
      </c>
      <c r="O24" s="3">
        <f>Table28[[#This Row],[Pillar1 Index]]-Table28[[#This Row],[Pillar1 SOS2]]</f>
        <v>-2.080569073495675E-2</v>
      </c>
      <c r="P24" s="3">
        <f>N24-_xlfn.STDEV.S(Table28[Residuals2])</f>
        <v>1.4999870312194072</v>
      </c>
      <c r="Q24" s="3">
        <f>N24-2*_xlfn.STDEV.S(Table28[Residuals2])</f>
        <v>1.4176461858204061</v>
      </c>
    </row>
    <row r="25" spans="1:17" x14ac:dyDescent="0.2">
      <c r="A25" s="24">
        <v>2019</v>
      </c>
      <c r="B25" s="24">
        <v>1</v>
      </c>
      <c r="C25" s="25">
        <f>POWER(Pillar1_quarterly1018[[#This Row],[A. ASSET]]^10*Pillar1_quarterly1018[[#This Row],[B. ADAPTIVE CAPACITY]],1/10)</f>
        <v>1.5615221858834516</v>
      </c>
      <c r="D25" s="24"/>
      <c r="E25" s="24"/>
      <c r="F25" s="24"/>
      <c r="G25" s="24"/>
      <c r="H25" s="24">
        <v>21</v>
      </c>
      <c r="I25" s="22">
        <f>_xlfn.FORECAST.LINEAR(Table28[[#This Row],[TIME]],Table28[Pillar1 Index],Table28[TIME])</f>
        <v>1.5710784979452728</v>
      </c>
      <c r="J25" s="23">
        <f>'Pillar1 SOS'!$C25-'Pillar1 SOS'!$I25</f>
        <v>-9.5563120618211705E-3</v>
      </c>
      <c r="K25" s="23">
        <f>'Pillar1 SOS'!$I25-_xlfn.STDEV.S('Pillar1 SOS'!$J$2:$J$45)</f>
        <v>1.4882985693539967</v>
      </c>
      <c r="L25" s="25">
        <f>'Pillar1 SOS'!$I25-2*_xlfn.STDEV.S('Pillar1 SOS'!$J$2:$J$45)</f>
        <v>1.4055186407627209</v>
      </c>
      <c r="M25">
        <v>6</v>
      </c>
      <c r="N25" s="3">
        <f>_xlfn.FORECAST.LINEAR(Table28[[#This Row],[TIME2]],Table28[Pillar1 Index],Table28[TIME2])</f>
        <v>1.5823278766184083</v>
      </c>
      <c r="O25" s="3">
        <f>Table28[[#This Row],[Pillar1 Index]]-Table28[[#This Row],[Pillar1 SOS2]]</f>
        <v>-2.080569073495675E-2</v>
      </c>
      <c r="P25" s="3">
        <f>N25-_xlfn.STDEV.S(Table28[Residuals2])</f>
        <v>1.4999870312194072</v>
      </c>
      <c r="Q25" s="3">
        <f>N25-2*_xlfn.STDEV.S(Table28[Residuals2])</f>
        <v>1.4176461858204061</v>
      </c>
    </row>
    <row r="26" spans="1:17" x14ac:dyDescent="0.2">
      <c r="A26" s="22">
        <v>2018</v>
      </c>
      <c r="B26" s="22">
        <v>4</v>
      </c>
      <c r="C26" s="23">
        <f>POWER(Pillar1_quarterly1018[[#This Row],[A. ASSET]]^10*Pillar1_quarterly1018[[#This Row],[B. ADAPTIVE CAPACITY]],1/10)</f>
        <v>1.506494124089591</v>
      </c>
      <c r="D26" s="22"/>
      <c r="E26" s="22"/>
      <c r="F26" s="22"/>
      <c r="G26" s="22"/>
      <c r="H26" s="22">
        <v>20</v>
      </c>
      <c r="I26" s="22">
        <f>_xlfn.FORECAST.LINEAR(Table28[[#This Row],[TIME]],Table28[Pillar1 Index],Table28[TIME])</f>
        <v>1.5635789121631825</v>
      </c>
      <c r="J26" s="23">
        <f>'Pillar1 SOS'!$C26-'Pillar1 SOS'!$I26</f>
        <v>-5.7084788073591408E-2</v>
      </c>
      <c r="K26" s="23">
        <f>'Pillar1 SOS'!$I26-_xlfn.STDEV.S('Pillar1 SOS'!$J$2:$J$45)</f>
        <v>1.4807989835719064</v>
      </c>
      <c r="L26" s="23">
        <f>'Pillar1 SOS'!$I26-2*_xlfn.STDEV.S('Pillar1 SOS'!$J$2:$J$45)</f>
        <v>1.3980190549806306</v>
      </c>
      <c r="M26">
        <v>5</v>
      </c>
      <c r="N26" s="3">
        <f>_xlfn.FORECAST.LINEAR(Table28[[#This Row],[TIME2]],Table28[Pillar1 Index],Table28[TIME2])</f>
        <v>1.5520951714343567</v>
      </c>
      <c r="O26" s="3">
        <f>Table28[[#This Row],[Pillar1 Index]]-Table28[[#This Row],[Pillar1 SOS2]]</f>
        <v>-4.5601047344765666E-2</v>
      </c>
      <c r="P26" s="3">
        <f>N26-_xlfn.STDEV.S(Table28[Residuals2])</f>
        <v>1.4697543260353556</v>
      </c>
      <c r="Q26" s="3">
        <f>N26-2*_xlfn.STDEV.S(Table28[Residuals2])</f>
        <v>1.3874134806363545</v>
      </c>
    </row>
    <row r="27" spans="1:17" x14ac:dyDescent="0.2">
      <c r="A27" s="24">
        <v>2018</v>
      </c>
      <c r="B27" s="24">
        <v>3</v>
      </c>
      <c r="C27" s="25">
        <f>POWER(Pillar1_quarterly1018[[#This Row],[A. ASSET]]^10*Pillar1_quarterly1018[[#This Row],[B. ADAPTIVE CAPACITY]],1/10)</f>
        <v>1.506494124089591</v>
      </c>
      <c r="D27" s="24" t="s">
        <v>53</v>
      </c>
      <c r="E27" s="24">
        <v>2</v>
      </c>
      <c r="F27" s="24"/>
      <c r="G27" s="24"/>
      <c r="H27" s="24">
        <v>19</v>
      </c>
      <c r="I27" s="22">
        <f>_xlfn.FORECAST.LINEAR(Table28[[#This Row],[TIME]],Table28[Pillar1 Index],Table28[TIME])</f>
        <v>1.5560793263810921</v>
      </c>
      <c r="J27" s="23">
        <f>'Pillar1 SOS'!$C27-'Pillar1 SOS'!$I27</f>
        <v>-4.9585202291501096E-2</v>
      </c>
      <c r="K27" s="23">
        <f>'Pillar1 SOS'!$I27-_xlfn.STDEV.S('Pillar1 SOS'!$J$2:$J$45)</f>
        <v>1.4732993977898161</v>
      </c>
      <c r="L27" s="25">
        <f>'Pillar1 SOS'!$I27-2*_xlfn.STDEV.S('Pillar1 SOS'!$J$2:$J$45)</f>
        <v>1.3905194691985403</v>
      </c>
      <c r="M27">
        <v>5</v>
      </c>
      <c r="N27" s="3">
        <f>_xlfn.FORECAST.LINEAR(Table28[[#This Row],[TIME2]],Table28[Pillar1 Index],Table28[TIME2])</f>
        <v>1.5520951714343567</v>
      </c>
      <c r="O27" s="3">
        <f>Table28[[#This Row],[Pillar1 Index]]-Table28[[#This Row],[Pillar1 SOS2]]</f>
        <v>-4.5601047344765666E-2</v>
      </c>
      <c r="P27" s="3">
        <f>N27-_xlfn.STDEV.S(Table28[Residuals2])</f>
        <v>1.4697543260353556</v>
      </c>
      <c r="Q27" s="3">
        <f>N27-2*_xlfn.STDEV.S(Table28[Residuals2])</f>
        <v>1.3874134806363545</v>
      </c>
    </row>
    <row r="28" spans="1:17" x14ac:dyDescent="0.2">
      <c r="A28" s="22">
        <v>2018</v>
      </c>
      <c r="B28" s="22">
        <v>2</v>
      </c>
      <c r="C28" s="23">
        <f>POWER(Pillar1_quarterly1018[[#This Row],[A. ASSET]]^10*Pillar1_quarterly1018[[#This Row],[B. ADAPTIVE CAPACITY]],1/10)</f>
        <v>1.506494124089591</v>
      </c>
      <c r="D28" s="22"/>
      <c r="E28" s="22"/>
      <c r="F28" s="22"/>
      <c r="G28" s="22"/>
      <c r="H28" s="22">
        <v>18</v>
      </c>
      <c r="I28" s="22">
        <f>_xlfn.FORECAST.LINEAR(Table28[[#This Row],[TIME]],Table28[Pillar1 Index],Table28[TIME])</f>
        <v>1.5485797405990018</v>
      </c>
      <c r="J28" s="23">
        <f>'Pillar1 SOS'!$C28-'Pillar1 SOS'!$I28</f>
        <v>-4.2085616509410784E-2</v>
      </c>
      <c r="K28" s="23">
        <f>'Pillar1 SOS'!$I28-_xlfn.STDEV.S('Pillar1 SOS'!$J$2:$J$45)</f>
        <v>1.4657998120077258</v>
      </c>
      <c r="L28" s="23">
        <f>'Pillar1 SOS'!$I28-2*_xlfn.STDEV.S('Pillar1 SOS'!$J$2:$J$45)</f>
        <v>1.38301988341645</v>
      </c>
      <c r="M28">
        <v>5</v>
      </c>
      <c r="N28" s="3">
        <f>_xlfn.FORECAST.LINEAR(Table28[[#This Row],[TIME2]],Table28[Pillar1 Index],Table28[TIME2])</f>
        <v>1.5520951714343567</v>
      </c>
      <c r="O28" s="3">
        <f>Table28[[#This Row],[Pillar1 Index]]-Table28[[#This Row],[Pillar1 SOS2]]</f>
        <v>-4.5601047344765666E-2</v>
      </c>
      <c r="P28" s="3">
        <f>N28-_xlfn.STDEV.S(Table28[Residuals2])</f>
        <v>1.4697543260353556</v>
      </c>
      <c r="Q28" s="3">
        <f>N28-2*_xlfn.STDEV.S(Table28[Residuals2])</f>
        <v>1.3874134806363545</v>
      </c>
    </row>
    <row r="29" spans="1:17" x14ac:dyDescent="0.2">
      <c r="A29" s="24">
        <v>2018</v>
      </c>
      <c r="B29" s="24">
        <v>1</v>
      </c>
      <c r="C29" s="25">
        <f>POWER(Pillar1_quarterly1018[[#This Row],[A. ASSET]]^10*Pillar1_quarterly1018[[#This Row],[B. ADAPTIVE CAPACITY]],1/10)</f>
        <v>1.506494124089591</v>
      </c>
      <c r="D29" s="24" t="s">
        <v>35</v>
      </c>
      <c r="E29" s="24">
        <v>2</v>
      </c>
      <c r="F29" s="24"/>
      <c r="G29" s="24"/>
      <c r="H29" s="24">
        <v>17</v>
      </c>
      <c r="I29" s="22">
        <f>_xlfn.FORECAST.LINEAR(Table28[[#This Row],[TIME]],Table28[Pillar1 Index],Table28[TIME])</f>
        <v>1.5410801548169115</v>
      </c>
      <c r="J29" s="23">
        <f>'Pillar1 SOS'!$C29-'Pillar1 SOS'!$I29</f>
        <v>-3.4586030727320471E-2</v>
      </c>
      <c r="K29" s="23">
        <f>'Pillar1 SOS'!$I29-_xlfn.STDEV.S('Pillar1 SOS'!$J$2:$J$45)</f>
        <v>1.4583002262256355</v>
      </c>
      <c r="L29" s="25">
        <f>'Pillar1 SOS'!$I29-2*_xlfn.STDEV.S('Pillar1 SOS'!$J$2:$J$45)</f>
        <v>1.3755202976343597</v>
      </c>
      <c r="M29">
        <v>5</v>
      </c>
      <c r="N29" s="3">
        <f>_xlfn.FORECAST.LINEAR(Table28[[#This Row],[TIME2]],Table28[Pillar1 Index],Table28[TIME2])</f>
        <v>1.5520951714343567</v>
      </c>
      <c r="O29" s="3">
        <f>Table28[[#This Row],[Pillar1 Index]]-Table28[[#This Row],[Pillar1 SOS2]]</f>
        <v>-4.5601047344765666E-2</v>
      </c>
      <c r="P29" s="3">
        <f>N29-_xlfn.STDEV.S(Table28[Residuals2])</f>
        <v>1.4697543260353556</v>
      </c>
      <c r="Q29" s="3">
        <f>N29-2*_xlfn.STDEV.S(Table28[Residuals2])</f>
        <v>1.3874134806363545</v>
      </c>
    </row>
    <row r="30" spans="1:17" x14ac:dyDescent="0.2">
      <c r="A30" s="22">
        <v>2017</v>
      </c>
      <c r="B30" s="22">
        <v>4</v>
      </c>
      <c r="C30" s="23">
        <f>POWER(Pillar1_quarterly1018[[#This Row],[A. ASSET]]^10*Pillar1_quarterly1018[[#This Row],[B. ADAPTIVE CAPACITY]],1/10)</f>
        <v>1.5765066483251562</v>
      </c>
      <c r="D30" s="22"/>
      <c r="E30" s="22"/>
      <c r="F30" s="22"/>
      <c r="G30" s="22"/>
      <c r="H30" s="22">
        <v>16</v>
      </c>
      <c r="I30" s="22">
        <f>_xlfn.FORECAST.LINEAR(Table28[[#This Row],[TIME]],Table28[Pillar1 Index],Table28[TIME])</f>
        <v>1.5335805690348212</v>
      </c>
      <c r="J30" s="23">
        <f>'Pillar1 SOS'!$C30-'Pillar1 SOS'!$I30</f>
        <v>4.2926079290334984E-2</v>
      </c>
      <c r="K30" s="23">
        <f>'Pillar1 SOS'!$I30-_xlfn.STDEV.S('Pillar1 SOS'!$J$2:$J$45)</f>
        <v>1.4508006404435452</v>
      </c>
      <c r="L30" s="23">
        <f>'Pillar1 SOS'!$I30-2*_xlfn.STDEV.S('Pillar1 SOS'!$J$2:$J$45)</f>
        <v>1.3680207118522694</v>
      </c>
      <c r="M30">
        <v>4</v>
      </c>
      <c r="N30" s="3">
        <f>_xlfn.FORECAST.LINEAR(Table28[[#This Row],[TIME2]],Table28[Pillar1 Index],Table28[TIME2])</f>
        <v>1.5218624662503051</v>
      </c>
      <c r="O30" s="3">
        <f>Table28[[#This Row],[Pillar1 Index]]-Table28[[#This Row],[Pillar1 SOS2]]</f>
        <v>5.4644182074851111E-2</v>
      </c>
      <c r="P30" s="3">
        <f>N30-_xlfn.STDEV.S(Table28[Residuals2])</f>
        <v>1.439521620851304</v>
      </c>
      <c r="Q30" s="3">
        <f>N30-2*_xlfn.STDEV.S(Table28[Residuals2])</f>
        <v>1.3571807754523029</v>
      </c>
    </row>
    <row r="31" spans="1:17" x14ac:dyDescent="0.2">
      <c r="A31" s="24">
        <v>2017</v>
      </c>
      <c r="B31" s="24">
        <v>3</v>
      </c>
      <c r="C31" s="25">
        <f>POWER(Pillar1_quarterly1018[[#This Row],[A. ASSET]]^10*Pillar1_quarterly1018[[#This Row],[B. ADAPTIVE CAPACITY]],1/10)</f>
        <v>1.5765066483251562</v>
      </c>
      <c r="D31" s="24"/>
      <c r="E31" s="24"/>
      <c r="F31" s="24"/>
      <c r="G31" s="24"/>
      <c r="H31" s="24">
        <v>15</v>
      </c>
      <c r="I31" s="22">
        <f>_xlfn.FORECAST.LINEAR(Table28[[#This Row],[TIME]],Table28[Pillar1 Index],Table28[TIME])</f>
        <v>1.5260809832527309</v>
      </c>
      <c r="J31" s="23">
        <f>'Pillar1 SOS'!$C31-'Pillar1 SOS'!$I31</f>
        <v>5.0425665072425296E-2</v>
      </c>
      <c r="K31" s="23">
        <f>'Pillar1 SOS'!$I31-_xlfn.STDEV.S('Pillar1 SOS'!$J$2:$J$45)</f>
        <v>1.4433010546614549</v>
      </c>
      <c r="L31" s="25">
        <f>'Pillar1 SOS'!$I31-2*_xlfn.STDEV.S('Pillar1 SOS'!$J$2:$J$45)</f>
        <v>1.3605211260701791</v>
      </c>
      <c r="M31">
        <v>4</v>
      </c>
      <c r="N31" s="3">
        <f>_xlfn.FORECAST.LINEAR(Table28[[#This Row],[TIME2]],Table28[Pillar1 Index],Table28[TIME2])</f>
        <v>1.5218624662503051</v>
      </c>
      <c r="O31" s="3">
        <f>Table28[[#This Row],[Pillar1 Index]]-Table28[[#This Row],[Pillar1 SOS2]]</f>
        <v>5.4644182074851111E-2</v>
      </c>
      <c r="P31" s="3">
        <f>N31-_xlfn.STDEV.S(Table28[Residuals2])</f>
        <v>1.439521620851304</v>
      </c>
      <c r="Q31" s="3">
        <f>N31-2*_xlfn.STDEV.S(Table28[Residuals2])</f>
        <v>1.3571807754523029</v>
      </c>
    </row>
    <row r="32" spans="1:17" x14ac:dyDescent="0.2">
      <c r="A32" s="22">
        <v>2017</v>
      </c>
      <c r="B32" s="22">
        <v>2</v>
      </c>
      <c r="C32" s="23">
        <f>POWER(Pillar1_quarterly1018[[#This Row],[A. ASSET]]^10*Pillar1_quarterly1018[[#This Row],[B. ADAPTIVE CAPACITY]],1/10)</f>
        <v>1.5765066483251562</v>
      </c>
      <c r="D32" s="22"/>
      <c r="E32" s="22"/>
      <c r="F32" s="22"/>
      <c r="G32" s="22"/>
      <c r="H32" s="22">
        <v>14</v>
      </c>
      <c r="I32" s="22">
        <f>_xlfn.FORECAST.LINEAR(Table28[[#This Row],[TIME]],Table28[Pillar1 Index],Table28[TIME])</f>
        <v>1.5185813974706406</v>
      </c>
      <c r="J32" s="23">
        <f>'Pillar1 SOS'!$C32-'Pillar1 SOS'!$I32</f>
        <v>5.7925250854515609E-2</v>
      </c>
      <c r="K32" s="23">
        <f>'Pillar1 SOS'!$I32-_xlfn.STDEV.S('Pillar1 SOS'!$J$2:$J$45)</f>
        <v>1.4358014688793646</v>
      </c>
      <c r="L32" s="23">
        <f>'Pillar1 SOS'!$I32-2*_xlfn.STDEV.S('Pillar1 SOS'!$J$2:$J$45)</f>
        <v>1.3530215402880887</v>
      </c>
      <c r="M32">
        <v>4</v>
      </c>
      <c r="N32" s="3">
        <f>_xlfn.FORECAST.LINEAR(Table28[[#This Row],[TIME2]],Table28[Pillar1 Index],Table28[TIME2])</f>
        <v>1.5218624662503051</v>
      </c>
      <c r="O32" s="3">
        <f>Table28[[#This Row],[Pillar1 Index]]-Table28[[#This Row],[Pillar1 SOS2]]</f>
        <v>5.4644182074851111E-2</v>
      </c>
      <c r="P32" s="3">
        <f>N32-_xlfn.STDEV.S(Table28[Residuals2])</f>
        <v>1.439521620851304</v>
      </c>
      <c r="Q32" s="3">
        <f>N32-2*_xlfn.STDEV.S(Table28[Residuals2])</f>
        <v>1.3571807754523029</v>
      </c>
    </row>
    <row r="33" spans="1:17" x14ac:dyDescent="0.2">
      <c r="A33" s="24">
        <v>2017</v>
      </c>
      <c r="B33" s="24">
        <v>1</v>
      </c>
      <c r="C33" s="25">
        <f>POWER(Pillar1_quarterly1018[[#This Row],[A. ASSET]]^10*Pillar1_quarterly1018[[#This Row],[B. ADAPTIVE CAPACITY]],1/10)</f>
        <v>1.5765066483251562</v>
      </c>
      <c r="D33" s="24"/>
      <c r="E33" s="24"/>
      <c r="F33" s="24"/>
      <c r="G33" s="24"/>
      <c r="H33" s="24">
        <v>13</v>
      </c>
      <c r="I33" s="22">
        <f>_xlfn.FORECAST.LINEAR(Table28[[#This Row],[TIME]],Table28[Pillar1 Index],Table28[TIME])</f>
        <v>1.5110818116885503</v>
      </c>
      <c r="J33" s="23">
        <f>'Pillar1 SOS'!$C33-'Pillar1 SOS'!$I33</f>
        <v>6.5424836636605921E-2</v>
      </c>
      <c r="K33" s="23">
        <f>'Pillar1 SOS'!$I33-_xlfn.STDEV.S('Pillar1 SOS'!$J$2:$J$45)</f>
        <v>1.4283018830972742</v>
      </c>
      <c r="L33" s="25">
        <f>'Pillar1 SOS'!$I33-2*_xlfn.STDEV.S('Pillar1 SOS'!$J$2:$J$45)</f>
        <v>1.3455219545059984</v>
      </c>
      <c r="M33">
        <v>4</v>
      </c>
      <c r="N33" s="3">
        <f>_xlfn.FORECAST.LINEAR(Table28[[#This Row],[TIME2]],Table28[Pillar1 Index],Table28[TIME2])</f>
        <v>1.5218624662503051</v>
      </c>
      <c r="O33" s="3">
        <f>Table28[[#This Row],[Pillar1 Index]]-Table28[[#This Row],[Pillar1 SOS2]]</f>
        <v>5.4644182074851111E-2</v>
      </c>
      <c r="P33" s="3">
        <f>N33-_xlfn.STDEV.S(Table28[Residuals2])</f>
        <v>1.439521620851304</v>
      </c>
      <c r="Q33" s="3">
        <f>N33-2*_xlfn.STDEV.S(Table28[Residuals2])</f>
        <v>1.3571807754523029</v>
      </c>
    </row>
    <row r="34" spans="1:17" x14ac:dyDescent="0.2">
      <c r="A34" s="22">
        <v>2016</v>
      </c>
      <c r="B34" s="22">
        <v>4</v>
      </c>
      <c r="C34" s="23">
        <f>POWER(Pillar1_quarterly1018[[#This Row],[A. ASSET]]^10*Pillar1_quarterly1018[[#This Row],[B. ADAPTIVE CAPACITY]],1/10)</f>
        <v>1.5829076241822768</v>
      </c>
      <c r="D34" s="22" t="s">
        <v>38</v>
      </c>
      <c r="E34" s="22">
        <v>1</v>
      </c>
      <c r="F34" s="22"/>
      <c r="G34" s="22"/>
      <c r="H34" s="22">
        <v>12</v>
      </c>
      <c r="I34" s="22">
        <f>_xlfn.FORECAST.LINEAR(Table28[[#This Row],[TIME]],Table28[Pillar1 Index],Table28[TIME])</f>
        <v>1.50358222590646</v>
      </c>
      <c r="J34" s="23">
        <f>'Pillar1 SOS'!$C34-'Pillar1 SOS'!$I34</f>
        <v>7.9325398275816861E-2</v>
      </c>
      <c r="K34" s="23">
        <f>'Pillar1 SOS'!$I34-_xlfn.STDEV.S('Pillar1 SOS'!$J$2:$J$45)</f>
        <v>1.4208022973151839</v>
      </c>
      <c r="L34" s="23">
        <f>'Pillar1 SOS'!$I34-2*_xlfn.STDEV.S('Pillar1 SOS'!$J$2:$J$45)</f>
        <v>1.3380223687239081</v>
      </c>
      <c r="M34">
        <v>3</v>
      </c>
      <c r="N34" s="3">
        <f>_xlfn.FORECAST.LINEAR(Table28[[#This Row],[TIME2]],Table28[Pillar1 Index],Table28[TIME2])</f>
        <v>1.4916297610662534</v>
      </c>
      <c r="O34" s="3">
        <f>Table28[[#This Row],[Pillar1 Index]]-Table28[[#This Row],[Pillar1 SOS2]]</f>
        <v>9.1277863116023372E-2</v>
      </c>
      <c r="P34" s="3">
        <f>N34-_xlfn.STDEV.S(Table28[Residuals2])</f>
        <v>1.4092889156672523</v>
      </c>
      <c r="Q34" s="3">
        <f>N34-2*_xlfn.STDEV.S(Table28[Residuals2])</f>
        <v>1.3269480702682512</v>
      </c>
    </row>
    <row r="35" spans="1:17" x14ac:dyDescent="0.2">
      <c r="A35" s="24">
        <v>2016</v>
      </c>
      <c r="B35" s="24">
        <v>3</v>
      </c>
      <c r="C35" s="25">
        <f>POWER(Pillar1_quarterly1018[[#This Row],[A. ASSET]]^10*Pillar1_quarterly1018[[#This Row],[B. ADAPTIVE CAPACITY]],1/10)</f>
        <v>1.5829076241822768</v>
      </c>
      <c r="D35" s="24"/>
      <c r="E35" s="24"/>
      <c r="F35" s="24"/>
      <c r="G35" s="24"/>
      <c r="H35" s="24">
        <v>11</v>
      </c>
      <c r="I35" s="22">
        <f>_xlfn.FORECAST.LINEAR(Table28[[#This Row],[TIME]],Table28[Pillar1 Index],Table28[TIME])</f>
        <v>1.4960826401243696</v>
      </c>
      <c r="J35" s="23">
        <f>'Pillar1 SOS'!$C35-'Pillar1 SOS'!$I35</f>
        <v>8.6824984057907173E-2</v>
      </c>
      <c r="K35" s="23">
        <f>'Pillar1 SOS'!$I35-_xlfn.STDEV.S('Pillar1 SOS'!$J$2:$J$45)</f>
        <v>1.4133027115330936</v>
      </c>
      <c r="L35" s="25">
        <f>'Pillar1 SOS'!$I35-2*_xlfn.STDEV.S('Pillar1 SOS'!$J$2:$J$45)</f>
        <v>1.3305227829418178</v>
      </c>
      <c r="M35">
        <v>3</v>
      </c>
      <c r="N35" s="3">
        <f>_xlfn.FORECAST.LINEAR(Table28[[#This Row],[TIME2]],Table28[Pillar1 Index],Table28[TIME2])</f>
        <v>1.4916297610662534</v>
      </c>
      <c r="O35" s="3">
        <f>Table28[[#This Row],[Pillar1 Index]]-Table28[[#This Row],[Pillar1 SOS2]]</f>
        <v>9.1277863116023372E-2</v>
      </c>
      <c r="P35" s="3">
        <f>N35-_xlfn.STDEV.S(Table28[Residuals2])</f>
        <v>1.4092889156672523</v>
      </c>
      <c r="Q35" s="3">
        <f>N35-2*_xlfn.STDEV.S(Table28[Residuals2])</f>
        <v>1.3269480702682512</v>
      </c>
    </row>
    <row r="36" spans="1:17" x14ac:dyDescent="0.2">
      <c r="A36" s="22">
        <v>2016</v>
      </c>
      <c r="B36" s="22">
        <v>2</v>
      </c>
      <c r="C36" s="23">
        <f>POWER(Pillar1_quarterly1018[[#This Row],[A. ASSET]]^10*Pillar1_quarterly1018[[#This Row],[B. ADAPTIVE CAPACITY]],1/10)</f>
        <v>1.5829076241822768</v>
      </c>
      <c r="D36" s="22" t="s">
        <v>38</v>
      </c>
      <c r="E36" s="22">
        <v>2</v>
      </c>
      <c r="F36" s="22"/>
      <c r="G36" s="22"/>
      <c r="H36" s="22">
        <v>10</v>
      </c>
      <c r="I36" s="22">
        <f>_xlfn.FORECAST.LINEAR(Table28[[#This Row],[TIME]],Table28[Pillar1 Index],Table28[TIME])</f>
        <v>1.4885830543422793</v>
      </c>
      <c r="J36" s="23">
        <f>'Pillar1 SOS'!$C36-'Pillar1 SOS'!$I36</f>
        <v>9.4324569839997485E-2</v>
      </c>
      <c r="K36" s="23">
        <f>'Pillar1 SOS'!$I36-_xlfn.STDEV.S('Pillar1 SOS'!$J$2:$J$45)</f>
        <v>1.4058031257510033</v>
      </c>
      <c r="L36" s="23">
        <f>'Pillar1 SOS'!$I36-2*_xlfn.STDEV.S('Pillar1 SOS'!$J$2:$J$45)</f>
        <v>1.3230231971597275</v>
      </c>
      <c r="M36">
        <v>3</v>
      </c>
      <c r="N36" s="3">
        <f>_xlfn.FORECAST.LINEAR(Table28[[#This Row],[TIME2]],Table28[Pillar1 Index],Table28[TIME2])</f>
        <v>1.4916297610662534</v>
      </c>
      <c r="O36" s="3">
        <f>Table28[[#This Row],[Pillar1 Index]]-Table28[[#This Row],[Pillar1 SOS2]]</f>
        <v>9.1277863116023372E-2</v>
      </c>
      <c r="P36" s="3">
        <f>N36-_xlfn.STDEV.S(Table28[Residuals2])</f>
        <v>1.4092889156672523</v>
      </c>
      <c r="Q36" s="3">
        <f>N36-2*_xlfn.STDEV.S(Table28[Residuals2])</f>
        <v>1.3269480702682512</v>
      </c>
    </row>
    <row r="37" spans="1:17" x14ac:dyDescent="0.2">
      <c r="A37" s="24">
        <v>2016</v>
      </c>
      <c r="B37" s="24">
        <v>1</v>
      </c>
      <c r="C37" s="25">
        <f>POWER(Pillar1_quarterly1018[[#This Row],[A. ASSET]]^10*Pillar1_quarterly1018[[#This Row],[B. ADAPTIVE CAPACITY]],1/10)</f>
        <v>1.5829076241822768</v>
      </c>
      <c r="D37" s="24" t="s">
        <v>38</v>
      </c>
      <c r="E37" s="24">
        <v>2</v>
      </c>
      <c r="F37" s="24"/>
      <c r="G37" s="24"/>
      <c r="H37" s="24">
        <v>9</v>
      </c>
      <c r="I37" s="22">
        <f>_xlfn.FORECAST.LINEAR(Table28[[#This Row],[TIME]],Table28[Pillar1 Index],Table28[TIME])</f>
        <v>1.481083468560189</v>
      </c>
      <c r="J37" s="23">
        <f>'Pillar1 SOS'!$C37-'Pillar1 SOS'!$I37</f>
        <v>0.1018241556220878</v>
      </c>
      <c r="K37" s="23">
        <f>'Pillar1 SOS'!$I37-_xlfn.STDEV.S('Pillar1 SOS'!$J$2:$J$45)</f>
        <v>1.398303539968913</v>
      </c>
      <c r="L37" s="25">
        <f>'Pillar1 SOS'!$I37-2*_xlfn.STDEV.S('Pillar1 SOS'!$J$2:$J$45)</f>
        <v>1.3155236113776372</v>
      </c>
      <c r="M37">
        <v>3</v>
      </c>
      <c r="N37" s="3">
        <f>_xlfn.FORECAST.LINEAR(Table28[[#This Row],[TIME2]],Table28[Pillar1 Index],Table28[TIME2])</f>
        <v>1.4916297610662534</v>
      </c>
      <c r="O37" s="3">
        <f>Table28[[#This Row],[Pillar1 Index]]-Table28[[#This Row],[Pillar1 SOS2]]</f>
        <v>9.1277863116023372E-2</v>
      </c>
      <c r="P37" s="3">
        <f>N37-_xlfn.STDEV.S(Table28[Residuals2])</f>
        <v>1.4092889156672523</v>
      </c>
      <c r="Q37" s="3">
        <f>N37-2*_xlfn.STDEV.S(Table28[Residuals2])</f>
        <v>1.3269480702682512</v>
      </c>
    </row>
    <row r="38" spans="1:17" x14ac:dyDescent="0.2">
      <c r="A38" s="22">
        <v>2015</v>
      </c>
      <c r="B38" s="22">
        <v>4</v>
      </c>
      <c r="C38" s="23">
        <f>POWER(Pillar1_quarterly1018[[#This Row],[A. ASSET]]^10*Pillar1_quarterly1018[[#This Row],[B. ADAPTIVE CAPACITY]],1/10)</f>
        <v>1.3849320264845117</v>
      </c>
      <c r="D38" s="22" t="s">
        <v>38</v>
      </c>
      <c r="E38" s="22">
        <v>2</v>
      </c>
      <c r="F38" s="22"/>
      <c r="G38" s="22"/>
      <c r="H38" s="22">
        <v>8</v>
      </c>
      <c r="I38" s="22">
        <f>_xlfn.FORECAST.LINEAR(Table28[[#This Row],[TIME]],Table28[Pillar1 Index],Table28[TIME])</f>
        <v>1.4735838827780987</v>
      </c>
      <c r="J38" s="23">
        <f>'Pillar1 SOS'!$C38-'Pillar1 SOS'!$I38</f>
        <v>-8.8651856293586961E-2</v>
      </c>
      <c r="K38" s="23">
        <f>'Pillar1 SOS'!$I38-_xlfn.STDEV.S('Pillar1 SOS'!$J$2:$J$45)</f>
        <v>1.3908039541868227</v>
      </c>
      <c r="L38" s="23">
        <f>'Pillar1 SOS'!$I38-2*_xlfn.STDEV.S('Pillar1 SOS'!$J$2:$J$45)</f>
        <v>1.3080240255955469</v>
      </c>
      <c r="M38">
        <v>2</v>
      </c>
      <c r="N38" s="3">
        <f>_xlfn.FORECAST.LINEAR(Table28[[#This Row],[TIME2]],Table28[Pillar1 Index],Table28[TIME2])</f>
        <v>1.461397055882202</v>
      </c>
      <c r="O38" s="3">
        <f>Table28[[#This Row],[Pillar1 Index]]-Table28[[#This Row],[Pillar1 SOS2]]</f>
        <v>-7.6465029397690287E-2</v>
      </c>
      <c r="P38" s="3">
        <f>N38-_xlfn.STDEV.S(Table28[Residuals2])</f>
        <v>1.3790562104832009</v>
      </c>
      <c r="Q38" s="3">
        <f>N38-2*_xlfn.STDEV.S(Table28[Residuals2])</f>
        <v>1.2967153650841998</v>
      </c>
    </row>
    <row r="39" spans="1:17" x14ac:dyDescent="0.2">
      <c r="A39" s="24">
        <v>2015</v>
      </c>
      <c r="B39" s="24">
        <v>3</v>
      </c>
      <c r="C39" s="25">
        <f>POWER(Pillar1_quarterly1018[[#This Row],[A. ASSET]]^10*Pillar1_quarterly1018[[#This Row],[B. ADAPTIVE CAPACITY]],1/10)</f>
        <v>1.3849320264845117</v>
      </c>
      <c r="D39" s="24"/>
      <c r="E39" s="24"/>
      <c r="F39" s="24"/>
      <c r="G39" s="24"/>
      <c r="H39" s="24">
        <v>7</v>
      </c>
      <c r="I39" s="22">
        <f>_xlfn.FORECAST.LINEAR(Table28[[#This Row],[TIME]],Table28[Pillar1 Index],Table28[TIME])</f>
        <v>1.4660842969960084</v>
      </c>
      <c r="J39" s="23">
        <f>'Pillar1 SOS'!$C39-'Pillar1 SOS'!$I39</f>
        <v>-8.1152270511496649E-2</v>
      </c>
      <c r="K39" s="23">
        <f>'Pillar1 SOS'!$I39-_xlfn.STDEV.S('Pillar1 SOS'!$J$2:$J$45)</f>
        <v>1.3833043684047324</v>
      </c>
      <c r="L39" s="25">
        <f>'Pillar1 SOS'!$I39-2*_xlfn.STDEV.S('Pillar1 SOS'!$J$2:$J$45)</f>
        <v>1.3005244398134566</v>
      </c>
      <c r="M39">
        <v>2</v>
      </c>
      <c r="N39" s="3">
        <f>_xlfn.FORECAST.LINEAR(Table28[[#This Row],[TIME2]],Table28[Pillar1 Index],Table28[TIME2])</f>
        <v>1.461397055882202</v>
      </c>
      <c r="O39" s="3">
        <f>Table28[[#This Row],[Pillar1 Index]]-Table28[[#This Row],[Pillar1 SOS2]]</f>
        <v>-7.6465029397690287E-2</v>
      </c>
      <c r="P39" s="3">
        <f>N39-_xlfn.STDEV.S(Table28[Residuals2])</f>
        <v>1.3790562104832009</v>
      </c>
      <c r="Q39" s="3">
        <f>N39-2*_xlfn.STDEV.S(Table28[Residuals2])</f>
        <v>1.2967153650841998</v>
      </c>
    </row>
    <row r="40" spans="1:17" x14ac:dyDescent="0.2">
      <c r="A40" s="22">
        <v>2015</v>
      </c>
      <c r="B40" s="22">
        <v>2</v>
      </c>
      <c r="C40" s="23">
        <f>POWER(Pillar1_quarterly1018[[#This Row],[A. ASSET]]^10*Pillar1_quarterly1018[[#This Row],[B. ADAPTIVE CAPACITY]],1/10)</f>
        <v>1.3849320264845117</v>
      </c>
      <c r="D40" s="22" t="s">
        <v>35</v>
      </c>
      <c r="E40" s="22">
        <v>2</v>
      </c>
      <c r="F40" s="22"/>
      <c r="G40" s="22"/>
      <c r="H40" s="22">
        <v>6</v>
      </c>
      <c r="I40" s="22">
        <f>_xlfn.FORECAST.LINEAR(Table28[[#This Row],[TIME]],Table28[Pillar1 Index],Table28[TIME])</f>
        <v>1.4585847112139181</v>
      </c>
      <c r="J40" s="23">
        <f>'Pillar1 SOS'!$C40-'Pillar1 SOS'!$I40</f>
        <v>-7.3652684729406337E-2</v>
      </c>
      <c r="K40" s="23">
        <f>'Pillar1 SOS'!$I40-_xlfn.STDEV.S('Pillar1 SOS'!$J$2:$J$45)</f>
        <v>1.3758047826226421</v>
      </c>
      <c r="L40" s="23">
        <f>'Pillar1 SOS'!$I40-2*_xlfn.STDEV.S('Pillar1 SOS'!$J$2:$J$45)</f>
        <v>1.2930248540313662</v>
      </c>
      <c r="M40">
        <v>2</v>
      </c>
      <c r="N40" s="3">
        <f>_xlfn.FORECAST.LINEAR(Table28[[#This Row],[TIME2]],Table28[Pillar1 Index],Table28[TIME2])</f>
        <v>1.461397055882202</v>
      </c>
      <c r="O40" s="3">
        <f>Table28[[#This Row],[Pillar1 Index]]-Table28[[#This Row],[Pillar1 SOS2]]</f>
        <v>-7.6465029397690287E-2</v>
      </c>
      <c r="P40" s="3">
        <f>N40-_xlfn.STDEV.S(Table28[Residuals2])</f>
        <v>1.3790562104832009</v>
      </c>
      <c r="Q40" s="3">
        <f>N40-2*_xlfn.STDEV.S(Table28[Residuals2])</f>
        <v>1.2967153650841998</v>
      </c>
    </row>
    <row r="41" spans="1:17" x14ac:dyDescent="0.2">
      <c r="A41" s="24">
        <v>2015</v>
      </c>
      <c r="B41" s="24">
        <v>1</v>
      </c>
      <c r="C41" s="25">
        <f>POWER(Pillar1_quarterly1018[[#This Row],[A. ASSET]]^10*Pillar1_quarterly1018[[#This Row],[B. ADAPTIVE CAPACITY]],1/10)</f>
        <v>1.3849320264845117</v>
      </c>
      <c r="D41" s="24"/>
      <c r="E41" s="24"/>
      <c r="F41" s="24"/>
      <c r="G41" s="24"/>
      <c r="H41" s="24">
        <v>5</v>
      </c>
      <c r="I41" s="22">
        <f>_xlfn.FORECAST.LINEAR(Table28[[#This Row],[TIME]],Table28[Pillar1 Index],Table28[TIME])</f>
        <v>1.4510851254318278</v>
      </c>
      <c r="J41" s="23">
        <f>'Pillar1 SOS'!$C41-'Pillar1 SOS'!$I41</f>
        <v>-6.6153098947316025E-2</v>
      </c>
      <c r="K41" s="23">
        <f>'Pillar1 SOS'!$I41-_xlfn.STDEV.S('Pillar1 SOS'!$J$2:$J$45)</f>
        <v>1.3683051968405517</v>
      </c>
      <c r="L41" s="25">
        <f>'Pillar1 SOS'!$I41-2*_xlfn.STDEV.S('Pillar1 SOS'!$J$2:$J$45)</f>
        <v>1.2855252682492759</v>
      </c>
      <c r="M41">
        <v>2</v>
      </c>
      <c r="N41" s="3">
        <f>_xlfn.FORECAST.LINEAR(Table28[[#This Row],[TIME2]],Table28[Pillar1 Index],Table28[TIME2])</f>
        <v>1.461397055882202</v>
      </c>
      <c r="O41" s="3">
        <f>Table28[[#This Row],[Pillar1 Index]]-Table28[[#This Row],[Pillar1 SOS2]]</f>
        <v>-7.6465029397690287E-2</v>
      </c>
      <c r="P41" s="3">
        <f>N41-_xlfn.STDEV.S(Table28[Residuals2])</f>
        <v>1.3790562104832009</v>
      </c>
      <c r="Q41" s="3">
        <f>N41-2*_xlfn.STDEV.S(Table28[Residuals2])</f>
        <v>1.2967153650841998</v>
      </c>
    </row>
    <row r="42" spans="1:17" x14ac:dyDescent="0.2">
      <c r="A42" s="22">
        <v>2014</v>
      </c>
      <c r="B42" s="22">
        <v>4</v>
      </c>
      <c r="C42" s="23">
        <f>POWER(Pillar1_quarterly1018[[#This Row],[A. ASSET]]^10*Pillar1_quarterly1018[[#This Row],[B. ADAPTIVE CAPACITY]],1/10)</f>
        <v>1.4946525154080272</v>
      </c>
      <c r="D42" s="22" t="s">
        <v>38</v>
      </c>
      <c r="E42" s="22">
        <v>1</v>
      </c>
      <c r="F42" s="22"/>
      <c r="G42" s="22"/>
      <c r="H42" s="22">
        <v>4</v>
      </c>
      <c r="I42" s="22">
        <f>_xlfn.FORECAST.LINEAR(Table28[[#This Row],[TIME]],Table28[Pillar1 Index],Table28[TIME])</f>
        <v>1.4435855396497375</v>
      </c>
      <c r="J42" s="23">
        <f>'Pillar1 SOS'!$C42-'Pillar1 SOS'!$I42</f>
        <v>5.1066975758289779E-2</v>
      </c>
      <c r="K42" s="23">
        <f>'Pillar1 SOS'!$I42-_xlfn.STDEV.S('Pillar1 SOS'!$J$2:$J$45)</f>
        <v>1.3608056110584614</v>
      </c>
      <c r="L42" s="23">
        <f>'Pillar1 SOS'!$I42-2*_xlfn.STDEV.S('Pillar1 SOS'!$J$2:$J$45)</f>
        <v>1.2780256824671856</v>
      </c>
      <c r="M42">
        <v>1</v>
      </c>
      <c r="N42" s="3">
        <f>_xlfn.FORECAST.LINEAR(Table28[[#This Row],[TIME2]],Table28[Pillar1 Index],Table28[TIME2])</f>
        <v>1.4311643506981504</v>
      </c>
      <c r="O42" s="3">
        <f>Table28[[#This Row],[Pillar1 Index]]-Table28[[#This Row],[Pillar1 SOS2]]</f>
        <v>6.3488164709876838E-2</v>
      </c>
      <c r="P42" s="3">
        <f>N42-_xlfn.STDEV.S(Table28[Residuals2])</f>
        <v>1.3488235052991493</v>
      </c>
      <c r="Q42" s="3">
        <f>N42-2*_xlfn.STDEV.S(Table28[Residuals2])</f>
        <v>1.2664826599001482</v>
      </c>
    </row>
    <row r="43" spans="1:17" x14ac:dyDescent="0.2">
      <c r="A43" s="24">
        <v>2014</v>
      </c>
      <c r="B43" s="24">
        <v>3</v>
      </c>
      <c r="C43" s="25">
        <f>POWER(Pillar1_quarterly1018[[#This Row],[A. ASSET]]^10*Pillar1_quarterly1018[[#This Row],[B. ADAPTIVE CAPACITY]],1/10)</f>
        <v>1.4946525154080272</v>
      </c>
      <c r="D43" s="24"/>
      <c r="E43" s="24"/>
      <c r="F43" s="24"/>
      <c r="G43" s="24"/>
      <c r="H43" s="24">
        <v>3</v>
      </c>
      <c r="I43" s="22">
        <f>_xlfn.FORECAST.LINEAR(Table28[[#This Row],[TIME]],Table28[Pillar1 Index],Table28[TIME])</f>
        <v>1.4360859538676471</v>
      </c>
      <c r="J43" s="23">
        <f>'Pillar1 SOS'!$C43-'Pillar1 SOS'!$I43</f>
        <v>5.8566561540380091E-2</v>
      </c>
      <c r="K43" s="23">
        <f>'Pillar1 SOS'!$I43-_xlfn.STDEV.S('Pillar1 SOS'!$J$2:$J$45)</f>
        <v>1.3533060252763711</v>
      </c>
      <c r="L43" s="25">
        <f>'Pillar1 SOS'!$I43-2*_xlfn.STDEV.S('Pillar1 SOS'!$J$2:$J$45)</f>
        <v>1.2705260966850953</v>
      </c>
      <c r="M43">
        <v>1</v>
      </c>
      <c r="N43" s="3">
        <f>_xlfn.FORECAST.LINEAR(Table28[[#This Row],[TIME2]],Table28[Pillar1 Index],Table28[TIME2])</f>
        <v>1.4311643506981504</v>
      </c>
      <c r="O43" s="3">
        <f>Table28[[#This Row],[Pillar1 Index]]-Table28[[#This Row],[Pillar1 SOS2]]</f>
        <v>6.3488164709876838E-2</v>
      </c>
      <c r="P43" s="3">
        <f>N43-_xlfn.STDEV.S(Table28[Residuals2])</f>
        <v>1.3488235052991493</v>
      </c>
      <c r="Q43" s="3">
        <f>N43-2*_xlfn.STDEV.S(Table28[Residuals2])</f>
        <v>1.2664826599001482</v>
      </c>
    </row>
    <row r="44" spans="1:17" x14ac:dyDescent="0.2">
      <c r="A44" s="22">
        <v>2014</v>
      </c>
      <c r="B44" s="22">
        <v>2</v>
      </c>
      <c r="C44" s="23">
        <f>POWER(Pillar1_quarterly1018[[#This Row],[A. ASSET]]^10*Pillar1_quarterly1018[[#This Row],[B. ADAPTIVE CAPACITY]],1/10)</f>
        <v>1.4946525154080272</v>
      </c>
      <c r="D44" s="22"/>
      <c r="E44" s="22"/>
      <c r="F44" s="22"/>
      <c r="G44" s="22"/>
      <c r="H44" s="22">
        <v>2</v>
      </c>
      <c r="I44" s="22">
        <f>_xlfn.FORECAST.LINEAR(Table28[[#This Row],[TIME]],Table28[Pillar1 Index],Table28[TIME])</f>
        <v>1.4285863680855568</v>
      </c>
      <c r="J44" s="23">
        <f>'Pillar1 SOS'!$C44-'Pillar1 SOS'!$I44</f>
        <v>6.6066147322470403E-2</v>
      </c>
      <c r="K44" s="23">
        <f>'Pillar1 SOS'!$I44-_xlfn.STDEV.S('Pillar1 SOS'!$J$2:$J$45)</f>
        <v>1.3458064394942808</v>
      </c>
      <c r="L44" s="23">
        <f>'Pillar1 SOS'!$I44-2*_xlfn.STDEV.S('Pillar1 SOS'!$J$2:$J$45)</f>
        <v>1.263026510903005</v>
      </c>
      <c r="M44">
        <v>1</v>
      </c>
      <c r="N44" s="3">
        <f>_xlfn.FORECAST.LINEAR(Table28[[#This Row],[TIME2]],Table28[Pillar1 Index],Table28[TIME2])</f>
        <v>1.4311643506981504</v>
      </c>
      <c r="O44" s="3">
        <f>Table28[[#This Row],[Pillar1 Index]]-Table28[[#This Row],[Pillar1 SOS2]]</f>
        <v>6.3488164709876838E-2</v>
      </c>
      <c r="P44" s="3">
        <f>N44-_xlfn.STDEV.S(Table28[Residuals2])</f>
        <v>1.3488235052991493</v>
      </c>
      <c r="Q44" s="3">
        <f>N44-2*_xlfn.STDEV.S(Table28[Residuals2])</f>
        <v>1.2664826599001482</v>
      </c>
    </row>
    <row r="45" spans="1:17" x14ac:dyDescent="0.2">
      <c r="A45" s="24">
        <v>2014</v>
      </c>
      <c r="B45" s="24">
        <v>1</v>
      </c>
      <c r="C45" s="25">
        <f>POWER(Pillar1_quarterly1018[[#This Row],[A. ASSET]]^10*Pillar1_quarterly1018[[#This Row],[B. ADAPTIVE CAPACITY]],1/10)</f>
        <v>1.4946525154080272</v>
      </c>
      <c r="D45" s="24"/>
      <c r="E45" s="24"/>
      <c r="F45" s="24"/>
      <c r="G45" s="24"/>
      <c r="H45" s="24">
        <v>1</v>
      </c>
      <c r="I45" s="22">
        <f>_xlfn.FORECAST.LINEAR(Table28[[#This Row],[TIME]],Table28[Pillar1 Index],Table28[TIME])</f>
        <v>1.4210867823034665</v>
      </c>
      <c r="J45" s="23">
        <f>'Pillar1 SOS'!$C45-'Pillar1 SOS'!$I45</f>
        <v>7.3565733104560715E-2</v>
      </c>
      <c r="K45" s="23">
        <f>'Pillar1 SOS'!$I45-_xlfn.STDEV.S('Pillar1 SOS'!$J$2:$J$45)</f>
        <v>1.3383068537121905</v>
      </c>
      <c r="L45" s="25">
        <f>'Pillar1 SOS'!$I45-2*_xlfn.STDEV.S('Pillar1 SOS'!$J$2:$J$45)</f>
        <v>1.2555269251209147</v>
      </c>
      <c r="M45">
        <v>1</v>
      </c>
      <c r="N45" s="3">
        <f>_xlfn.FORECAST.LINEAR(Table28[[#This Row],[TIME2]],Table28[Pillar1 Index],Table28[TIME2])</f>
        <v>1.4311643506981504</v>
      </c>
      <c r="O45" s="3">
        <f>Table28[[#This Row],[Pillar1 Index]]-Table28[[#This Row],[Pillar1 SOS2]]</f>
        <v>6.3488164709876838E-2</v>
      </c>
      <c r="P45" s="3">
        <f>N45-_xlfn.STDEV.S(Table28[Residuals2])</f>
        <v>1.3488235052991493</v>
      </c>
      <c r="Q45" s="3">
        <f>N45-2*_xlfn.STDEV.S(Table28[Residuals2])</f>
        <v>1.2664826599001482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586B-912A-834C-BC27-EDEA3AE08380}">
  <dimension ref="A1:Q45"/>
  <sheetViews>
    <sheetView workbookViewId="0">
      <selection activeCell="Q3" sqref="Q3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126</v>
      </c>
      <c r="D1" t="s">
        <v>31</v>
      </c>
      <c r="E1" t="s">
        <v>119</v>
      </c>
      <c r="F1" t="s">
        <v>95</v>
      </c>
      <c r="G1" t="s">
        <v>120</v>
      </c>
      <c r="H1" t="s">
        <v>127</v>
      </c>
      <c r="I1" t="s">
        <v>131</v>
      </c>
      <c r="J1" t="s">
        <v>128</v>
      </c>
      <c r="K1" t="s">
        <v>136</v>
      </c>
      <c r="L1" t="s">
        <v>137</v>
      </c>
      <c r="M1" s="26" t="s">
        <v>138</v>
      </c>
      <c r="N1" s="26" t="s">
        <v>143</v>
      </c>
      <c r="O1" s="26" t="s">
        <v>142</v>
      </c>
      <c r="P1" s="26" t="s">
        <v>140</v>
      </c>
      <c r="Q1" s="26" t="s">
        <v>141</v>
      </c>
    </row>
    <row r="2" spans="1:17" x14ac:dyDescent="0.2">
      <c r="A2">
        <v>2024</v>
      </c>
      <c r="B2">
        <v>4</v>
      </c>
      <c r="C2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H2">
        <v>44</v>
      </c>
      <c r="I2">
        <f>_xlfn.FORECAST.LINEAR(Final_std_lv3252627[[#This Row],[TIME]],Final_std_lv3252627[Pillar2],Final_std_lv3252627[TIME])</f>
        <v>1.7319491886682288</v>
      </c>
      <c r="J2" s="3">
        <f>Final_std_lv3252627[[#This Row],[Pillar2]]-Final_std_lv3252627[[#This Row],[Pillar2 SOS]]</f>
        <v>-0.10694839477238549</v>
      </c>
      <c r="K2" s="3">
        <f>Final_std_lv3252627[[#This Row],[Pillar2 SOS]]-_xlfn.STDEV.S(Final_std_lv3252627[Residual])</f>
        <v>1.6449650143769765</v>
      </c>
      <c r="L2" s="3">
        <f>Final_std_lv3252627[[#This Row],[Pillar2 SOS]]-2*_xlfn.STDEV.S(Final_std_lv3252627[Residual])</f>
        <v>1.557980840085724</v>
      </c>
      <c r="M2">
        <v>11</v>
      </c>
      <c r="N2" s="3">
        <f t="shared" ref="N2:N45" si="0">_xlfn.FORECAST.LINEAR(M2, $C$2:$C$45, $M$2:$M$45)</f>
        <v>1.7196613737716482</v>
      </c>
      <c r="O2" s="3">
        <f t="shared" ref="O2:O45" si="1">C2-N2</f>
        <v>-9.4660579875804896E-2</v>
      </c>
      <c r="P2" s="3">
        <f>N2-_xlfn.STDEV.S(Final_std_lv3252627[Residuals2])</f>
        <v>1.6332990288288713</v>
      </c>
      <c r="Q2" s="3">
        <f>N2-2*_xlfn.STDEV.S(Final_std_lv3252627[Residuals2])</f>
        <v>1.5469366838860943</v>
      </c>
    </row>
    <row r="3" spans="1:17" x14ac:dyDescent="0.2">
      <c r="A3">
        <v>2024</v>
      </c>
      <c r="B3">
        <v>3</v>
      </c>
      <c r="C3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D3" t="s">
        <v>38</v>
      </c>
      <c r="E3">
        <v>2</v>
      </c>
      <c r="H3">
        <v>43</v>
      </c>
      <c r="I3">
        <f>_xlfn.FORECAST.LINEAR(Final_std_lv3252627[[#This Row],[TIME]],Final_std_lv3252627[Pillar2],Final_std_lv3252627[TIME])</f>
        <v>1.7228047682800758</v>
      </c>
      <c r="J3" s="3">
        <f>Final_std_lv3252627[[#This Row],[Pillar2]]-Final_std_lv3252627[[#This Row],[Pillar2 SOS]]</f>
        <v>-9.7803974384232495E-2</v>
      </c>
      <c r="K3" s="3">
        <f>Final_std_lv3252627[[#This Row],[Pillar2 SOS]]-_xlfn.STDEV.S(Final_std_lv3252627[Residual])</f>
        <v>1.6358205939888235</v>
      </c>
      <c r="L3" s="3">
        <f>Final_std_lv3252627[[#This Row],[Pillar2 SOS]]-2*_xlfn.STDEV.S(Final_std_lv3252627[Residual])</f>
        <v>1.548836419697571</v>
      </c>
      <c r="M3">
        <v>11</v>
      </c>
      <c r="N3" s="3">
        <f t="shared" si="0"/>
        <v>1.7196613737716482</v>
      </c>
      <c r="O3" s="3">
        <f t="shared" si="1"/>
        <v>-9.4660579875804896E-2</v>
      </c>
      <c r="P3" s="3">
        <f>N3-_xlfn.STDEV.S(Final_std_lv3252627[Residuals2])</f>
        <v>1.6332990288288713</v>
      </c>
      <c r="Q3" s="3">
        <f>N3-2*_xlfn.STDEV.S(Final_std_lv3252627[Residuals2])</f>
        <v>1.5469366838860943</v>
      </c>
    </row>
    <row r="4" spans="1:17" x14ac:dyDescent="0.2">
      <c r="A4">
        <v>2024</v>
      </c>
      <c r="B4">
        <v>2</v>
      </c>
      <c r="C4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D4" t="s">
        <v>38</v>
      </c>
      <c r="E4">
        <v>2</v>
      </c>
      <c r="H4">
        <v>42</v>
      </c>
      <c r="I4">
        <f>_xlfn.FORECAST.LINEAR(Final_std_lv3252627[[#This Row],[TIME]],Final_std_lv3252627[Pillar2],Final_std_lv3252627[TIME])</f>
        <v>1.7136603478919228</v>
      </c>
      <c r="J4" s="3">
        <f>Final_std_lv3252627[[#This Row],[Pillar2]]-Final_std_lv3252627[[#This Row],[Pillar2 SOS]]</f>
        <v>-8.8659553996079499E-2</v>
      </c>
      <c r="K4" s="3">
        <f>Final_std_lv3252627[[#This Row],[Pillar2 SOS]]-_xlfn.STDEV.S(Final_std_lv3252627[Residual])</f>
        <v>1.6266761736006705</v>
      </c>
      <c r="L4" s="3">
        <f>Final_std_lv3252627[[#This Row],[Pillar2 SOS]]-2*_xlfn.STDEV.S(Final_std_lv3252627[Residual])</f>
        <v>1.539691999309418</v>
      </c>
      <c r="M4">
        <v>11</v>
      </c>
      <c r="N4" s="3">
        <f t="shared" si="0"/>
        <v>1.7196613737716482</v>
      </c>
      <c r="O4" s="3">
        <f t="shared" si="1"/>
        <v>-9.4660579875804896E-2</v>
      </c>
      <c r="P4" s="3">
        <f>N4-_xlfn.STDEV.S(Final_std_lv3252627[Residuals2])</f>
        <v>1.6332990288288713</v>
      </c>
      <c r="Q4" s="3">
        <f>N4-2*_xlfn.STDEV.S(Final_std_lv3252627[Residuals2])</f>
        <v>1.5469366838860943</v>
      </c>
    </row>
    <row r="5" spans="1:17" x14ac:dyDescent="0.2">
      <c r="A5">
        <v>2024</v>
      </c>
      <c r="B5">
        <v>1</v>
      </c>
      <c r="C5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H5">
        <v>41</v>
      </c>
      <c r="I5">
        <f>_xlfn.FORECAST.LINEAR(Final_std_lv3252627[[#This Row],[TIME]],Final_std_lv3252627[Pillar2],Final_std_lv3252627[TIME])</f>
        <v>1.7045159275037696</v>
      </c>
      <c r="J5" s="3">
        <f>Final_std_lv3252627[[#This Row],[Pillar2]]-Final_std_lv3252627[[#This Row],[Pillar2 SOS]]</f>
        <v>-7.951513360792628E-2</v>
      </c>
      <c r="K5" s="3">
        <f>Final_std_lv3252627[[#This Row],[Pillar2 SOS]]-_xlfn.STDEV.S(Final_std_lv3252627[Residual])</f>
        <v>1.6175317532125173</v>
      </c>
      <c r="L5" s="3">
        <f>Final_std_lv3252627[[#This Row],[Pillar2 SOS]]-2*_xlfn.STDEV.S(Final_std_lv3252627[Residual])</f>
        <v>1.5305475789212648</v>
      </c>
      <c r="M5">
        <v>11</v>
      </c>
      <c r="N5" s="3">
        <f t="shared" si="0"/>
        <v>1.7196613737716482</v>
      </c>
      <c r="O5" s="3">
        <f t="shared" si="1"/>
        <v>-9.4660579875804896E-2</v>
      </c>
      <c r="P5" s="3">
        <f>N5-_xlfn.STDEV.S(Final_std_lv3252627[Residuals2])</f>
        <v>1.6332990288288713</v>
      </c>
      <c r="Q5" s="3">
        <f>N5-2*_xlfn.STDEV.S(Final_std_lv3252627[Residuals2])</f>
        <v>1.5469366838860943</v>
      </c>
    </row>
    <row r="6" spans="1:17" x14ac:dyDescent="0.2">
      <c r="A6">
        <v>2023</v>
      </c>
      <c r="B6">
        <v>4</v>
      </c>
      <c r="C6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H6">
        <v>40</v>
      </c>
      <c r="I6">
        <f>_xlfn.FORECAST.LINEAR(Final_std_lv3252627[[#This Row],[TIME]],Final_std_lv3252627[Pillar2],Final_std_lv3252627[TIME])</f>
        <v>1.6953715071156166</v>
      </c>
      <c r="J6" s="3">
        <f>Final_std_lv3252627[[#This Row],[Pillar2]]-Final_std_lv3252627[[#This Row],[Pillar2 SOS]]</f>
        <v>-7.4637773668836616E-2</v>
      </c>
      <c r="K6" s="3">
        <f>Final_std_lv3252627[[#This Row],[Pillar2 SOS]]-_xlfn.STDEV.S(Final_std_lv3252627[Residual])</f>
        <v>1.6083873328243643</v>
      </c>
      <c r="L6" s="3">
        <f>Final_std_lv3252627[[#This Row],[Pillar2 SOS]]-2*_xlfn.STDEV.S(Final_std_lv3252627[Residual])</f>
        <v>1.5214031585331118</v>
      </c>
      <c r="M6">
        <v>10</v>
      </c>
      <c r="N6" s="3">
        <f t="shared" si="0"/>
        <v>1.6827979290819064</v>
      </c>
      <c r="O6" s="3">
        <f t="shared" si="1"/>
        <v>-6.206419563512644E-2</v>
      </c>
      <c r="P6" s="3">
        <f>N6-_xlfn.STDEV.S(Final_std_lv3252627[Residuals2])</f>
        <v>1.5964355841391296</v>
      </c>
      <c r="Q6" s="3">
        <f>N6-2*_xlfn.STDEV.S(Final_std_lv3252627[Residuals2])</f>
        <v>1.5100732391963525</v>
      </c>
    </row>
    <row r="7" spans="1:17" x14ac:dyDescent="0.2">
      <c r="A7">
        <v>2023</v>
      </c>
      <c r="B7">
        <v>3</v>
      </c>
      <c r="C7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H7">
        <v>39</v>
      </c>
      <c r="I7">
        <f>_xlfn.FORECAST.LINEAR(Final_std_lv3252627[[#This Row],[TIME]],Final_std_lv3252627[Pillar2],Final_std_lv3252627[TIME])</f>
        <v>1.6862270867274636</v>
      </c>
      <c r="J7" s="3">
        <f>Final_std_lv3252627[[#This Row],[Pillar2]]-Final_std_lv3252627[[#This Row],[Pillar2 SOS]]</f>
        <v>-6.5493353280683619E-2</v>
      </c>
      <c r="K7" s="3">
        <f>Final_std_lv3252627[[#This Row],[Pillar2 SOS]]-_xlfn.STDEV.S(Final_std_lv3252627[Residual])</f>
        <v>1.5992429124362113</v>
      </c>
      <c r="L7" s="3">
        <f>Final_std_lv3252627[[#This Row],[Pillar2 SOS]]-2*_xlfn.STDEV.S(Final_std_lv3252627[Residual])</f>
        <v>1.5122587381449588</v>
      </c>
      <c r="M7">
        <v>10</v>
      </c>
      <c r="N7" s="3">
        <f t="shared" si="0"/>
        <v>1.6827979290819064</v>
      </c>
      <c r="O7" s="3">
        <f t="shared" si="1"/>
        <v>-6.206419563512644E-2</v>
      </c>
      <c r="P7" s="3">
        <f>N7-_xlfn.STDEV.S(Final_std_lv3252627[Residuals2])</f>
        <v>1.5964355841391296</v>
      </c>
      <c r="Q7" s="3">
        <f>N7-2*_xlfn.STDEV.S(Final_std_lv3252627[Residuals2])</f>
        <v>1.5100732391963525</v>
      </c>
    </row>
    <row r="8" spans="1:17" x14ac:dyDescent="0.2">
      <c r="A8">
        <v>2023</v>
      </c>
      <c r="B8">
        <v>2</v>
      </c>
      <c r="C8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D8" t="s">
        <v>35</v>
      </c>
      <c r="E8">
        <v>2</v>
      </c>
      <c r="H8">
        <v>38</v>
      </c>
      <c r="I8">
        <f>_xlfn.FORECAST.LINEAR(Final_std_lv3252627[[#This Row],[TIME]],Final_std_lv3252627[Pillar2],Final_std_lv3252627[TIME])</f>
        <v>1.6770826663393106</v>
      </c>
      <c r="J8" s="3">
        <f>Final_std_lv3252627[[#This Row],[Pillar2]]-Final_std_lv3252627[[#This Row],[Pillar2 SOS]]</f>
        <v>-5.6348932892530623E-2</v>
      </c>
      <c r="K8" s="3">
        <f>Final_std_lv3252627[[#This Row],[Pillar2 SOS]]-_xlfn.STDEV.S(Final_std_lv3252627[Residual])</f>
        <v>1.5900984920480583</v>
      </c>
      <c r="L8" s="3">
        <f>Final_std_lv3252627[[#This Row],[Pillar2 SOS]]-2*_xlfn.STDEV.S(Final_std_lv3252627[Residual])</f>
        <v>1.5031143177568058</v>
      </c>
      <c r="M8">
        <v>10</v>
      </c>
      <c r="N8" s="3">
        <f t="shared" si="0"/>
        <v>1.6827979290819064</v>
      </c>
      <c r="O8" s="3">
        <f t="shared" si="1"/>
        <v>-6.206419563512644E-2</v>
      </c>
      <c r="P8" s="3">
        <f>N8-_xlfn.STDEV.S(Final_std_lv3252627[Residuals2])</f>
        <v>1.5964355841391296</v>
      </c>
      <c r="Q8" s="3">
        <f>N8-2*_xlfn.STDEV.S(Final_std_lv3252627[Residuals2])</f>
        <v>1.5100732391963525</v>
      </c>
    </row>
    <row r="9" spans="1:17" x14ac:dyDescent="0.2">
      <c r="A9">
        <v>2023</v>
      </c>
      <c r="B9">
        <v>1</v>
      </c>
      <c r="C9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H9">
        <v>37</v>
      </c>
      <c r="I9">
        <f>_xlfn.FORECAST.LINEAR(Final_std_lv3252627[[#This Row],[TIME]],Final_std_lv3252627[Pillar2],Final_std_lv3252627[TIME])</f>
        <v>1.6679382459511576</v>
      </c>
      <c r="J9" s="3">
        <f>Final_std_lv3252627[[#This Row],[Pillar2]]-Final_std_lv3252627[[#This Row],[Pillar2 SOS]]</f>
        <v>-4.7204512504377627E-2</v>
      </c>
      <c r="K9" s="3">
        <f>Final_std_lv3252627[[#This Row],[Pillar2 SOS]]-_xlfn.STDEV.S(Final_std_lv3252627[Residual])</f>
        <v>1.5809540716599053</v>
      </c>
      <c r="L9" s="3">
        <f>Final_std_lv3252627[[#This Row],[Pillar2 SOS]]-2*_xlfn.STDEV.S(Final_std_lv3252627[Residual])</f>
        <v>1.4939698973686528</v>
      </c>
      <c r="M9">
        <v>10</v>
      </c>
      <c r="N9" s="3">
        <f t="shared" si="0"/>
        <v>1.6827979290819064</v>
      </c>
      <c r="O9" s="3">
        <f t="shared" si="1"/>
        <v>-6.206419563512644E-2</v>
      </c>
      <c r="P9" s="3">
        <f>N9-_xlfn.STDEV.S(Final_std_lv3252627[Residuals2])</f>
        <v>1.5964355841391296</v>
      </c>
      <c r="Q9" s="3">
        <f>N9-2*_xlfn.STDEV.S(Final_std_lv3252627[Residuals2])</f>
        <v>1.5100732391963525</v>
      </c>
    </row>
    <row r="10" spans="1:17" x14ac:dyDescent="0.2">
      <c r="A10">
        <v>2022</v>
      </c>
      <c r="B10">
        <v>4</v>
      </c>
      <c r="C10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H10">
        <v>36</v>
      </c>
      <c r="I10">
        <f>_xlfn.FORECAST.LINEAR(Final_std_lv3252627[[#This Row],[TIME]],Final_std_lv3252627[Pillar2],Final_std_lv3252627[TIME])</f>
        <v>1.6587938255630044</v>
      </c>
      <c r="J10" s="3">
        <f>Final_std_lv3252627[[#This Row],[Pillar2]]-Final_std_lv3252627[[#This Row],[Pillar2 SOS]]</f>
        <v>-8.9120419094664838E-2</v>
      </c>
      <c r="K10" s="3">
        <f>Final_std_lv3252627[[#This Row],[Pillar2 SOS]]-_xlfn.STDEV.S(Final_std_lv3252627[Residual])</f>
        <v>1.5718096512717521</v>
      </c>
      <c r="L10" s="3">
        <f>Final_std_lv3252627[[#This Row],[Pillar2 SOS]]-2*_xlfn.STDEV.S(Final_std_lv3252627[Residual])</f>
        <v>1.4848254769804996</v>
      </c>
      <c r="M10">
        <v>9</v>
      </c>
      <c r="N10" s="3">
        <f t="shared" si="0"/>
        <v>1.6459344843921644</v>
      </c>
      <c r="O10" s="3">
        <f t="shared" si="1"/>
        <v>-7.626107792382486E-2</v>
      </c>
      <c r="P10" s="3">
        <f>N10-_xlfn.STDEV.S(Final_std_lv3252627[Residuals2])</f>
        <v>1.5595721394493876</v>
      </c>
      <c r="Q10" s="3">
        <f>N10-2*_xlfn.STDEV.S(Final_std_lv3252627[Residuals2])</f>
        <v>1.4732097945066105</v>
      </c>
    </row>
    <row r="11" spans="1:17" x14ac:dyDescent="0.2">
      <c r="A11">
        <v>2022</v>
      </c>
      <c r="B11">
        <v>3</v>
      </c>
      <c r="C11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D11" t="s">
        <v>53</v>
      </c>
      <c r="E11">
        <v>2</v>
      </c>
      <c r="H11">
        <v>35</v>
      </c>
      <c r="I11">
        <f>_xlfn.FORECAST.LINEAR(Final_std_lv3252627[[#This Row],[TIME]],Final_std_lv3252627[Pillar2],Final_std_lv3252627[TIME])</f>
        <v>1.6496494051748514</v>
      </c>
      <c r="J11" s="3">
        <f>Final_std_lv3252627[[#This Row],[Pillar2]]-Final_std_lv3252627[[#This Row],[Pillar2 SOS]]</f>
        <v>-7.9975998706511842E-2</v>
      </c>
      <c r="K11" s="3">
        <f>Final_std_lv3252627[[#This Row],[Pillar2 SOS]]-_xlfn.STDEV.S(Final_std_lv3252627[Residual])</f>
        <v>1.5626652308835991</v>
      </c>
      <c r="L11" s="3">
        <f>Final_std_lv3252627[[#This Row],[Pillar2 SOS]]-2*_xlfn.STDEV.S(Final_std_lv3252627[Residual])</f>
        <v>1.4756810565923466</v>
      </c>
      <c r="M11">
        <v>9</v>
      </c>
      <c r="N11" s="3">
        <f t="shared" si="0"/>
        <v>1.6459344843921644</v>
      </c>
      <c r="O11" s="3">
        <f t="shared" si="1"/>
        <v>-7.626107792382486E-2</v>
      </c>
      <c r="P11" s="3">
        <f>N11-_xlfn.STDEV.S(Final_std_lv3252627[Residuals2])</f>
        <v>1.5595721394493876</v>
      </c>
      <c r="Q11" s="3">
        <f>N11-2*_xlfn.STDEV.S(Final_std_lv3252627[Residuals2])</f>
        <v>1.4732097945066105</v>
      </c>
    </row>
    <row r="12" spans="1:17" x14ac:dyDescent="0.2">
      <c r="A12">
        <v>2022</v>
      </c>
      <c r="B12">
        <v>2</v>
      </c>
      <c r="C12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D12" t="s">
        <v>53</v>
      </c>
      <c r="E12">
        <v>2</v>
      </c>
      <c r="H12">
        <v>34</v>
      </c>
      <c r="I12">
        <f>_xlfn.FORECAST.LINEAR(Final_std_lv3252627[[#This Row],[TIME]],Final_std_lv3252627[Pillar2],Final_std_lv3252627[TIME])</f>
        <v>1.6405049847866984</v>
      </c>
      <c r="J12" s="3">
        <f>Final_std_lv3252627[[#This Row],[Pillar2]]-Final_std_lv3252627[[#This Row],[Pillar2 SOS]]</f>
        <v>-7.0831578318358845E-2</v>
      </c>
      <c r="K12" s="3">
        <f>Final_std_lv3252627[[#This Row],[Pillar2 SOS]]-_xlfn.STDEV.S(Final_std_lv3252627[Residual])</f>
        <v>1.5535208104954461</v>
      </c>
      <c r="L12" s="3">
        <f>Final_std_lv3252627[[#This Row],[Pillar2 SOS]]-2*_xlfn.STDEV.S(Final_std_lv3252627[Residual])</f>
        <v>1.4665366362041936</v>
      </c>
      <c r="M12">
        <v>9</v>
      </c>
      <c r="N12" s="3">
        <f t="shared" si="0"/>
        <v>1.6459344843921644</v>
      </c>
      <c r="O12" s="3">
        <f t="shared" si="1"/>
        <v>-7.626107792382486E-2</v>
      </c>
      <c r="P12" s="3">
        <f>N12-_xlfn.STDEV.S(Final_std_lv3252627[Residuals2])</f>
        <v>1.5595721394493876</v>
      </c>
      <c r="Q12" s="3">
        <f>N12-2*_xlfn.STDEV.S(Final_std_lv3252627[Residuals2])</f>
        <v>1.4732097945066105</v>
      </c>
    </row>
    <row r="13" spans="1:17" x14ac:dyDescent="0.2">
      <c r="A13">
        <v>2022</v>
      </c>
      <c r="B13">
        <v>1</v>
      </c>
      <c r="C13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H13">
        <v>33</v>
      </c>
      <c r="I13">
        <f>_xlfn.FORECAST.LINEAR(Final_std_lv3252627[[#This Row],[TIME]],Final_std_lv3252627[Pillar2],Final_std_lv3252627[TIME])</f>
        <v>1.6313605643985454</v>
      </c>
      <c r="J13" s="3">
        <f>Final_std_lv3252627[[#This Row],[Pillar2]]-Final_std_lv3252627[[#This Row],[Pillar2 SOS]]</f>
        <v>-6.1687157930205849E-2</v>
      </c>
      <c r="K13" s="3">
        <f>Final_std_lv3252627[[#This Row],[Pillar2 SOS]]-_xlfn.STDEV.S(Final_std_lv3252627[Residual])</f>
        <v>1.5443763901072931</v>
      </c>
      <c r="L13" s="3">
        <f>Final_std_lv3252627[[#This Row],[Pillar2 SOS]]-2*_xlfn.STDEV.S(Final_std_lv3252627[Residual])</f>
        <v>1.4573922158160406</v>
      </c>
      <c r="M13">
        <v>9</v>
      </c>
      <c r="N13" s="3">
        <f t="shared" si="0"/>
        <v>1.6459344843921644</v>
      </c>
      <c r="O13" s="3">
        <f t="shared" si="1"/>
        <v>-7.626107792382486E-2</v>
      </c>
      <c r="P13" s="3">
        <f>N13-_xlfn.STDEV.S(Final_std_lv3252627[Residuals2])</f>
        <v>1.5595721394493876</v>
      </c>
      <c r="Q13" s="3">
        <f>N13-2*_xlfn.STDEV.S(Final_std_lv3252627[Residuals2])</f>
        <v>1.4732097945066105</v>
      </c>
    </row>
    <row r="14" spans="1:17" x14ac:dyDescent="0.2">
      <c r="A14">
        <v>2021</v>
      </c>
      <c r="B14">
        <v>4</v>
      </c>
      <c r="C14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H14">
        <v>32</v>
      </c>
      <c r="I14">
        <f>_xlfn.FORECAST.LINEAR(Final_std_lv3252627[[#This Row],[TIME]],Final_std_lv3252627[Pillar2],Final_std_lv3252627[TIME])</f>
        <v>1.6222161440103924</v>
      </c>
      <c r="J14" s="3">
        <f>Final_std_lv3252627[[#This Row],[Pillar2]]-Final_std_lv3252627[[#This Row],[Pillar2 SOS]]</f>
        <v>8.6334882979963501E-2</v>
      </c>
      <c r="K14" s="3">
        <f>Final_std_lv3252627[[#This Row],[Pillar2 SOS]]-_xlfn.STDEV.S(Final_std_lv3252627[Residual])</f>
        <v>1.5352319697191401</v>
      </c>
      <c r="L14" s="3">
        <f>Final_std_lv3252627[[#This Row],[Pillar2 SOS]]-2*_xlfn.STDEV.S(Final_std_lv3252627[Residual])</f>
        <v>1.4482477954278876</v>
      </c>
      <c r="M14">
        <v>8</v>
      </c>
      <c r="N14" s="3">
        <f t="shared" si="0"/>
        <v>1.6090710397024226</v>
      </c>
      <c r="O14" s="3">
        <f t="shared" si="1"/>
        <v>9.947998728793328E-2</v>
      </c>
      <c r="P14" s="3">
        <f>N14-_xlfn.STDEV.S(Final_std_lv3252627[Residuals2])</f>
        <v>1.5227086947596458</v>
      </c>
      <c r="Q14" s="3">
        <f>N14-2*_xlfn.STDEV.S(Final_std_lv3252627[Residuals2])</f>
        <v>1.4363463498168687</v>
      </c>
    </row>
    <row r="15" spans="1:17" x14ac:dyDescent="0.2">
      <c r="A15">
        <v>2021</v>
      </c>
      <c r="B15">
        <v>3</v>
      </c>
      <c r="C15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D15" t="s">
        <v>53</v>
      </c>
      <c r="E15">
        <v>3</v>
      </c>
      <c r="H15">
        <v>31</v>
      </c>
      <c r="I15">
        <f>_xlfn.FORECAST.LINEAR(Final_std_lv3252627[[#This Row],[TIME]],Final_std_lv3252627[Pillar2],Final_std_lv3252627[TIME])</f>
        <v>1.6130717236222392</v>
      </c>
      <c r="J15" s="3">
        <f>Final_std_lv3252627[[#This Row],[Pillar2]]-Final_std_lv3252627[[#This Row],[Pillar2 SOS]]</f>
        <v>9.5479303368116719E-2</v>
      </c>
      <c r="K15" s="3">
        <f>Final_std_lv3252627[[#This Row],[Pillar2 SOS]]-_xlfn.STDEV.S(Final_std_lv3252627[Residual])</f>
        <v>1.5260875493309869</v>
      </c>
      <c r="L15" s="3">
        <f>Final_std_lv3252627[[#This Row],[Pillar2 SOS]]-2*_xlfn.STDEV.S(Final_std_lv3252627[Residual])</f>
        <v>1.4391033750397344</v>
      </c>
      <c r="M15">
        <v>8</v>
      </c>
      <c r="N15" s="3">
        <f t="shared" si="0"/>
        <v>1.6090710397024226</v>
      </c>
      <c r="O15" s="3">
        <f t="shared" si="1"/>
        <v>9.947998728793328E-2</v>
      </c>
      <c r="P15" s="3">
        <f>N15-_xlfn.STDEV.S(Final_std_lv3252627[Residuals2])</f>
        <v>1.5227086947596458</v>
      </c>
      <c r="Q15" s="3">
        <f>N15-2*_xlfn.STDEV.S(Final_std_lv3252627[Residuals2])</f>
        <v>1.4363463498168687</v>
      </c>
    </row>
    <row r="16" spans="1:17" x14ac:dyDescent="0.2">
      <c r="A16">
        <v>2021</v>
      </c>
      <c r="B16">
        <v>2</v>
      </c>
      <c r="C16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D16" t="s">
        <v>53</v>
      </c>
      <c r="E16">
        <v>2</v>
      </c>
      <c r="H16">
        <v>30</v>
      </c>
      <c r="I16">
        <f>_xlfn.FORECAST.LINEAR(Final_std_lv3252627[[#This Row],[TIME]],Final_std_lv3252627[Pillar2],Final_std_lv3252627[TIME])</f>
        <v>1.6039273032340864</v>
      </c>
      <c r="J16" s="3">
        <f>Final_std_lv3252627[[#This Row],[Pillar2]]-Final_std_lv3252627[[#This Row],[Pillar2 SOS]]</f>
        <v>0.10462372375626949</v>
      </c>
      <c r="K16" s="3">
        <f>Final_std_lv3252627[[#This Row],[Pillar2 SOS]]-_xlfn.STDEV.S(Final_std_lv3252627[Residual])</f>
        <v>1.5169431289428341</v>
      </c>
      <c r="L16" s="3">
        <f>Final_std_lv3252627[[#This Row],[Pillar2 SOS]]-2*_xlfn.STDEV.S(Final_std_lv3252627[Residual])</f>
        <v>1.4299589546515816</v>
      </c>
      <c r="M16">
        <v>8</v>
      </c>
      <c r="N16" s="3">
        <f t="shared" si="0"/>
        <v>1.6090710397024226</v>
      </c>
      <c r="O16" s="3">
        <f t="shared" si="1"/>
        <v>9.947998728793328E-2</v>
      </c>
      <c r="P16" s="3">
        <f>N16-_xlfn.STDEV.S(Final_std_lv3252627[Residuals2])</f>
        <v>1.5227086947596458</v>
      </c>
      <c r="Q16" s="3">
        <f>N16-2*_xlfn.STDEV.S(Final_std_lv3252627[Residuals2])</f>
        <v>1.4363463498168687</v>
      </c>
    </row>
    <row r="17" spans="1:17" x14ac:dyDescent="0.2">
      <c r="A17">
        <v>2021</v>
      </c>
      <c r="B17">
        <v>1</v>
      </c>
      <c r="C17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D17" t="s">
        <v>53</v>
      </c>
      <c r="E17">
        <v>2</v>
      </c>
      <c r="H17">
        <v>29</v>
      </c>
      <c r="I17">
        <f>_xlfn.FORECAST.LINEAR(Final_std_lv3252627[[#This Row],[TIME]],Final_std_lv3252627[Pillar2],Final_std_lv3252627[TIME])</f>
        <v>1.5947828828459332</v>
      </c>
      <c r="J17" s="3">
        <f>Final_std_lv3252627[[#This Row],[Pillar2]]-Final_std_lv3252627[[#This Row],[Pillar2 SOS]]</f>
        <v>0.11376814414442271</v>
      </c>
      <c r="K17" s="3">
        <f>Final_std_lv3252627[[#This Row],[Pillar2 SOS]]-_xlfn.STDEV.S(Final_std_lv3252627[Residual])</f>
        <v>1.5077987085546809</v>
      </c>
      <c r="L17" s="3">
        <f>Final_std_lv3252627[[#This Row],[Pillar2 SOS]]-2*_xlfn.STDEV.S(Final_std_lv3252627[Residual])</f>
        <v>1.4208145342634284</v>
      </c>
      <c r="M17">
        <v>8</v>
      </c>
      <c r="N17" s="3">
        <f t="shared" si="0"/>
        <v>1.6090710397024226</v>
      </c>
      <c r="O17" s="3">
        <f t="shared" si="1"/>
        <v>9.947998728793328E-2</v>
      </c>
      <c r="P17" s="3">
        <f>N17-_xlfn.STDEV.S(Final_std_lv3252627[Residuals2])</f>
        <v>1.5227086947596458</v>
      </c>
      <c r="Q17" s="3">
        <f>N17-2*_xlfn.STDEV.S(Final_std_lv3252627[Residuals2])</f>
        <v>1.4363463498168687</v>
      </c>
    </row>
    <row r="18" spans="1:17" x14ac:dyDescent="0.2">
      <c r="A18">
        <v>2020</v>
      </c>
      <c r="B18">
        <v>4</v>
      </c>
      <c r="C18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D18" t="s">
        <v>38</v>
      </c>
      <c r="E18">
        <v>1</v>
      </c>
      <c r="H18">
        <v>28</v>
      </c>
      <c r="I18">
        <f>_xlfn.FORECAST.LINEAR(Final_std_lv3252627[[#This Row],[TIME]],Final_std_lv3252627[Pillar2],Final_std_lv3252627[TIME])</f>
        <v>1.5856384624577802</v>
      </c>
      <c r="J18" s="3">
        <f>Final_std_lv3252627[[#This Row],[Pillar2]]-Final_std_lv3252627[[#This Row],[Pillar2 SOS]]</f>
        <v>7.7900235584531075E-2</v>
      </c>
      <c r="K18" s="3">
        <f>Final_std_lv3252627[[#This Row],[Pillar2 SOS]]-_xlfn.STDEV.S(Final_std_lv3252627[Residual])</f>
        <v>1.4986542881665279</v>
      </c>
      <c r="L18" s="3">
        <f>Final_std_lv3252627[[#This Row],[Pillar2 SOS]]-2*_xlfn.STDEV.S(Final_std_lv3252627[Residual])</f>
        <v>1.4116701138752754</v>
      </c>
      <c r="M18">
        <v>7</v>
      </c>
      <c r="N18" s="3">
        <f t="shared" si="0"/>
        <v>1.5722075950126806</v>
      </c>
      <c r="O18" s="3">
        <f t="shared" si="1"/>
        <v>9.1331103029630656E-2</v>
      </c>
      <c r="P18" s="3">
        <f>N18-_xlfn.STDEV.S(Final_std_lv3252627[Residuals2])</f>
        <v>1.4858452500699038</v>
      </c>
      <c r="Q18" s="3">
        <f>N18-2*_xlfn.STDEV.S(Final_std_lv3252627[Residuals2])</f>
        <v>1.3994829051271267</v>
      </c>
    </row>
    <row r="19" spans="1:17" x14ac:dyDescent="0.2">
      <c r="A19">
        <v>2020</v>
      </c>
      <c r="B19">
        <v>3</v>
      </c>
      <c r="C19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D19" t="s">
        <v>35</v>
      </c>
      <c r="E19">
        <v>1</v>
      </c>
      <c r="H19">
        <v>27</v>
      </c>
      <c r="I19">
        <f>_xlfn.FORECAST.LINEAR(Final_std_lv3252627[[#This Row],[TIME]],Final_std_lv3252627[Pillar2],Final_std_lv3252627[TIME])</f>
        <v>1.5764940420696272</v>
      </c>
      <c r="J19" s="3">
        <f>Final_std_lv3252627[[#This Row],[Pillar2]]-Final_std_lv3252627[[#This Row],[Pillar2 SOS]]</f>
        <v>8.7044655972684071E-2</v>
      </c>
      <c r="K19" s="3">
        <f>Final_std_lv3252627[[#This Row],[Pillar2 SOS]]-_xlfn.STDEV.S(Final_std_lv3252627[Residual])</f>
        <v>1.4895098677783749</v>
      </c>
      <c r="L19" s="3">
        <f>Final_std_lv3252627[[#This Row],[Pillar2 SOS]]-2*_xlfn.STDEV.S(Final_std_lv3252627[Residual])</f>
        <v>1.4025256934871224</v>
      </c>
      <c r="M19">
        <v>7</v>
      </c>
      <c r="N19" s="3">
        <f t="shared" si="0"/>
        <v>1.5722075950126806</v>
      </c>
      <c r="O19" s="3">
        <f t="shared" si="1"/>
        <v>9.1331103029630656E-2</v>
      </c>
      <c r="P19" s="3">
        <f>N19-_xlfn.STDEV.S(Final_std_lv3252627[Residuals2])</f>
        <v>1.4858452500699038</v>
      </c>
      <c r="Q19" s="3">
        <f>N19-2*_xlfn.STDEV.S(Final_std_lv3252627[Residuals2])</f>
        <v>1.3994829051271267</v>
      </c>
    </row>
    <row r="20" spans="1:17" x14ac:dyDescent="0.2">
      <c r="A20">
        <v>2020</v>
      </c>
      <c r="B20">
        <v>2</v>
      </c>
      <c r="C20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D20" t="s">
        <v>35</v>
      </c>
      <c r="E20">
        <v>2</v>
      </c>
      <c r="H20">
        <v>26</v>
      </c>
      <c r="I20">
        <f>_xlfn.FORECAST.LINEAR(Final_std_lv3252627[[#This Row],[TIME]],Final_std_lv3252627[Pillar2],Final_std_lv3252627[TIME])</f>
        <v>1.5673496216814742</v>
      </c>
      <c r="J20" s="3">
        <f>Final_std_lv3252627[[#This Row],[Pillar2]]-Final_std_lv3252627[[#This Row],[Pillar2 SOS]]</f>
        <v>9.6189076360837067E-2</v>
      </c>
      <c r="K20" s="3">
        <f>Final_std_lv3252627[[#This Row],[Pillar2 SOS]]-_xlfn.STDEV.S(Final_std_lv3252627[Residual])</f>
        <v>1.4803654473902219</v>
      </c>
      <c r="L20" s="3">
        <f>Final_std_lv3252627[[#This Row],[Pillar2 SOS]]-2*_xlfn.STDEV.S(Final_std_lv3252627[Residual])</f>
        <v>1.3933812730989694</v>
      </c>
      <c r="M20">
        <v>7</v>
      </c>
      <c r="N20" s="3">
        <f t="shared" si="0"/>
        <v>1.5722075950126806</v>
      </c>
      <c r="O20" s="3">
        <f t="shared" si="1"/>
        <v>9.1331103029630656E-2</v>
      </c>
      <c r="P20" s="3">
        <f>N20-_xlfn.STDEV.S(Final_std_lv3252627[Residuals2])</f>
        <v>1.4858452500699038</v>
      </c>
      <c r="Q20" s="3">
        <f>N20-2*_xlfn.STDEV.S(Final_std_lv3252627[Residuals2])</f>
        <v>1.3994829051271267</v>
      </c>
    </row>
    <row r="21" spans="1:17" x14ac:dyDescent="0.2">
      <c r="A21">
        <v>2020</v>
      </c>
      <c r="B21">
        <v>1</v>
      </c>
      <c r="C21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H21">
        <v>25</v>
      </c>
      <c r="I21">
        <f>_xlfn.FORECAST.LINEAR(Final_std_lv3252627[[#This Row],[TIME]],Final_std_lv3252627[Pillar2],Final_std_lv3252627[TIME])</f>
        <v>1.5582052012933212</v>
      </c>
      <c r="J21" s="3">
        <f>Final_std_lv3252627[[#This Row],[Pillar2]]-Final_std_lv3252627[[#This Row],[Pillar2 SOS]]</f>
        <v>0.10533349674899006</v>
      </c>
      <c r="K21" s="3">
        <f>Final_std_lv3252627[[#This Row],[Pillar2 SOS]]-_xlfn.STDEV.S(Final_std_lv3252627[Residual])</f>
        <v>1.4712210270020689</v>
      </c>
      <c r="L21" s="3">
        <f>Final_std_lv3252627[[#This Row],[Pillar2 SOS]]-2*_xlfn.STDEV.S(Final_std_lv3252627[Residual])</f>
        <v>1.3842368527108164</v>
      </c>
      <c r="M21">
        <v>7</v>
      </c>
      <c r="N21" s="3">
        <f t="shared" si="0"/>
        <v>1.5722075950126806</v>
      </c>
      <c r="O21" s="3">
        <f t="shared" si="1"/>
        <v>9.1331103029630656E-2</v>
      </c>
      <c r="P21" s="3">
        <f>N21-_xlfn.STDEV.S(Final_std_lv3252627[Residuals2])</f>
        <v>1.4858452500699038</v>
      </c>
      <c r="Q21" s="3">
        <f>N21-2*_xlfn.STDEV.S(Final_std_lv3252627[Residuals2])</f>
        <v>1.3994829051271267</v>
      </c>
    </row>
    <row r="22" spans="1:17" x14ac:dyDescent="0.2">
      <c r="A22">
        <v>2019</v>
      </c>
      <c r="B22">
        <v>4</v>
      </c>
      <c r="C22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H22">
        <v>24</v>
      </c>
      <c r="I22">
        <f>_xlfn.FORECAST.LINEAR(Final_std_lv3252627[[#This Row],[TIME]],Final_std_lv3252627[Pillar2],Final_std_lv3252627[TIME])</f>
        <v>1.549060780905168</v>
      </c>
      <c r="J22" s="3">
        <f>Final_std_lv3252627[[#This Row],[Pillar2]]-Final_std_lv3252627[[#This Row],[Pillar2 SOS]]</f>
        <v>7.2391840892615855E-2</v>
      </c>
      <c r="K22" s="3">
        <f>Final_std_lv3252627[[#This Row],[Pillar2 SOS]]-_xlfn.STDEV.S(Final_std_lv3252627[Residual])</f>
        <v>1.4620766066139157</v>
      </c>
      <c r="L22" s="3">
        <f>Final_std_lv3252627[[#This Row],[Pillar2 SOS]]-2*_xlfn.STDEV.S(Final_std_lv3252627[Residual])</f>
        <v>1.3750924323226632</v>
      </c>
      <c r="M22">
        <v>6</v>
      </c>
      <c r="N22" s="3">
        <f t="shared" si="0"/>
        <v>1.5353441503229388</v>
      </c>
      <c r="O22" s="3">
        <f t="shared" si="1"/>
        <v>8.6108471474845016E-2</v>
      </c>
      <c r="P22" s="3">
        <f>N22-_xlfn.STDEV.S(Final_std_lv3252627[Residuals2])</f>
        <v>1.448981805380162</v>
      </c>
      <c r="Q22" s="3">
        <f>N22-2*_xlfn.STDEV.S(Final_std_lv3252627[Residuals2])</f>
        <v>1.3626194604373849</v>
      </c>
    </row>
    <row r="23" spans="1:17" x14ac:dyDescent="0.2">
      <c r="A23">
        <v>2019</v>
      </c>
      <c r="B23">
        <v>3</v>
      </c>
      <c r="C23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D23" t="s">
        <v>38</v>
      </c>
      <c r="E23">
        <v>1</v>
      </c>
      <c r="F23" t="s">
        <v>38</v>
      </c>
      <c r="G23">
        <v>1</v>
      </c>
      <c r="H23">
        <v>23</v>
      </c>
      <c r="I23">
        <f>_xlfn.FORECAST.LINEAR(Final_std_lv3252627[[#This Row],[TIME]],Final_std_lv3252627[Pillar2],Final_std_lv3252627[TIME])</f>
        <v>1.539916360517015</v>
      </c>
      <c r="J23" s="3">
        <f>Final_std_lv3252627[[#This Row],[Pillar2]]-Final_std_lv3252627[[#This Row],[Pillar2 SOS]]</f>
        <v>8.1536261280768851E-2</v>
      </c>
      <c r="K23" s="3">
        <f>Final_std_lv3252627[[#This Row],[Pillar2 SOS]]-_xlfn.STDEV.S(Final_std_lv3252627[Residual])</f>
        <v>1.4529321862257627</v>
      </c>
      <c r="L23" s="3">
        <f>Final_std_lv3252627[[#This Row],[Pillar2 SOS]]-2*_xlfn.STDEV.S(Final_std_lv3252627[Residual])</f>
        <v>1.3659480119345102</v>
      </c>
      <c r="M23">
        <v>6</v>
      </c>
      <c r="N23" s="3">
        <f t="shared" si="0"/>
        <v>1.5353441503229388</v>
      </c>
      <c r="O23" s="3">
        <f t="shared" si="1"/>
        <v>8.6108471474845016E-2</v>
      </c>
      <c r="P23" s="3">
        <f>N23-_xlfn.STDEV.S(Final_std_lv3252627[Residuals2])</f>
        <v>1.448981805380162</v>
      </c>
      <c r="Q23" s="3">
        <f>N23-2*_xlfn.STDEV.S(Final_std_lv3252627[Residuals2])</f>
        <v>1.3626194604373849</v>
      </c>
    </row>
    <row r="24" spans="1:17" x14ac:dyDescent="0.2">
      <c r="A24">
        <v>2019</v>
      </c>
      <c r="B24">
        <v>2</v>
      </c>
      <c r="C24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D24" t="s">
        <v>38</v>
      </c>
      <c r="E24">
        <v>2</v>
      </c>
      <c r="H24">
        <v>22</v>
      </c>
      <c r="I24">
        <f>_xlfn.FORECAST.LINEAR(Final_std_lv3252627[[#This Row],[TIME]],Final_std_lv3252627[Pillar2],Final_std_lv3252627[TIME])</f>
        <v>1.530771940128862</v>
      </c>
      <c r="J24" s="3">
        <f>Final_std_lv3252627[[#This Row],[Pillar2]]-Final_std_lv3252627[[#This Row],[Pillar2 SOS]]</f>
        <v>9.0680681668921848E-2</v>
      </c>
      <c r="K24" s="3">
        <f>Final_std_lv3252627[[#This Row],[Pillar2 SOS]]-_xlfn.STDEV.S(Final_std_lv3252627[Residual])</f>
        <v>1.4437877658376097</v>
      </c>
      <c r="L24" s="3">
        <f>Final_std_lv3252627[[#This Row],[Pillar2 SOS]]-2*_xlfn.STDEV.S(Final_std_lv3252627[Residual])</f>
        <v>1.3568035915463572</v>
      </c>
      <c r="M24">
        <v>6</v>
      </c>
      <c r="N24" s="3">
        <f t="shared" si="0"/>
        <v>1.5353441503229388</v>
      </c>
      <c r="O24" s="3">
        <f t="shared" si="1"/>
        <v>8.6108471474845016E-2</v>
      </c>
      <c r="P24" s="3">
        <f>N24-_xlfn.STDEV.S(Final_std_lv3252627[Residuals2])</f>
        <v>1.448981805380162</v>
      </c>
      <c r="Q24" s="3">
        <f>N24-2*_xlfn.STDEV.S(Final_std_lv3252627[Residuals2])</f>
        <v>1.3626194604373849</v>
      </c>
    </row>
    <row r="25" spans="1:17" x14ac:dyDescent="0.2">
      <c r="A25">
        <v>2019</v>
      </c>
      <c r="B25">
        <v>1</v>
      </c>
      <c r="C25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H25">
        <v>21</v>
      </c>
      <c r="I25">
        <f>_xlfn.FORECAST.LINEAR(Final_std_lv3252627[[#This Row],[TIME]],Final_std_lv3252627[Pillar2],Final_std_lv3252627[TIME])</f>
        <v>1.521627519740709</v>
      </c>
      <c r="J25" s="3">
        <f>Final_std_lv3252627[[#This Row],[Pillar2]]-Final_std_lv3252627[[#This Row],[Pillar2 SOS]]</f>
        <v>9.9825102057074844E-2</v>
      </c>
      <c r="K25" s="3">
        <f>Final_std_lv3252627[[#This Row],[Pillar2 SOS]]-_xlfn.STDEV.S(Final_std_lv3252627[Residual])</f>
        <v>1.4346433454494567</v>
      </c>
      <c r="L25" s="3">
        <f>Final_std_lv3252627[[#This Row],[Pillar2 SOS]]-2*_xlfn.STDEV.S(Final_std_lv3252627[Residual])</f>
        <v>1.3476591711582042</v>
      </c>
      <c r="M25">
        <v>6</v>
      </c>
      <c r="N25" s="3">
        <f t="shared" si="0"/>
        <v>1.5353441503229388</v>
      </c>
      <c r="O25" s="3">
        <f t="shared" si="1"/>
        <v>8.6108471474845016E-2</v>
      </c>
      <c r="P25" s="3">
        <f>N25-_xlfn.STDEV.S(Final_std_lv3252627[Residuals2])</f>
        <v>1.448981805380162</v>
      </c>
      <c r="Q25" s="3">
        <f>N25-2*_xlfn.STDEV.S(Final_std_lv3252627[Residuals2])</f>
        <v>1.3626194604373849</v>
      </c>
    </row>
    <row r="26" spans="1:17" x14ac:dyDescent="0.2">
      <c r="A26">
        <v>2018</v>
      </c>
      <c r="B26">
        <v>4</v>
      </c>
      <c r="C26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H26">
        <v>20</v>
      </c>
      <c r="I26">
        <f>_xlfn.FORECAST.LINEAR(Final_std_lv3252627[[#This Row],[TIME]],Final_std_lv3252627[Pillar2],Final_std_lv3252627[TIME])</f>
        <v>1.512483099352556</v>
      </c>
      <c r="J26" s="3">
        <f>Final_std_lv3252627[[#This Row],[Pillar2]]-Final_std_lv3252627[[#This Row],[Pillar2 SOS]]</f>
        <v>3.8903726033838071E-2</v>
      </c>
      <c r="K26" s="3">
        <f>Final_std_lv3252627[[#This Row],[Pillar2 SOS]]-_xlfn.STDEV.S(Final_std_lv3252627[Residual])</f>
        <v>1.4254989250613037</v>
      </c>
      <c r="L26" s="3">
        <f>Final_std_lv3252627[[#This Row],[Pillar2 SOS]]-2*_xlfn.STDEV.S(Final_std_lv3252627[Residual])</f>
        <v>1.3385147507700512</v>
      </c>
      <c r="M26">
        <v>5</v>
      </c>
      <c r="N26" s="3">
        <f t="shared" si="0"/>
        <v>1.4984807056331968</v>
      </c>
      <c r="O26" s="3">
        <f t="shared" si="1"/>
        <v>5.2906119753197256E-2</v>
      </c>
      <c r="P26" s="3">
        <f>N26-_xlfn.STDEV.S(Final_std_lv3252627[Residuals2])</f>
        <v>1.41211836069042</v>
      </c>
      <c r="Q26" s="3">
        <f>N26-2*_xlfn.STDEV.S(Final_std_lv3252627[Residuals2])</f>
        <v>1.3257560157476429</v>
      </c>
    </row>
    <row r="27" spans="1:17" x14ac:dyDescent="0.2">
      <c r="A27">
        <v>2018</v>
      </c>
      <c r="B27">
        <v>3</v>
      </c>
      <c r="C27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D27" t="s">
        <v>53</v>
      </c>
      <c r="E27">
        <v>2</v>
      </c>
      <c r="H27">
        <v>19</v>
      </c>
      <c r="I27">
        <f>_xlfn.FORECAST.LINEAR(Final_std_lv3252627[[#This Row],[TIME]],Final_std_lv3252627[Pillar2],Final_std_lv3252627[TIME])</f>
        <v>1.5033386789644028</v>
      </c>
      <c r="J27" s="3">
        <f>Final_std_lv3252627[[#This Row],[Pillar2]]-Final_std_lv3252627[[#This Row],[Pillar2 SOS]]</f>
        <v>4.8048146421991289E-2</v>
      </c>
      <c r="K27" s="3">
        <f>Final_std_lv3252627[[#This Row],[Pillar2 SOS]]-_xlfn.STDEV.S(Final_std_lv3252627[Residual])</f>
        <v>1.4163545046731505</v>
      </c>
      <c r="L27" s="3">
        <f>Final_std_lv3252627[[#This Row],[Pillar2 SOS]]-2*_xlfn.STDEV.S(Final_std_lv3252627[Residual])</f>
        <v>1.329370330381898</v>
      </c>
      <c r="M27">
        <v>5</v>
      </c>
      <c r="N27" s="3">
        <f t="shared" si="0"/>
        <v>1.4984807056331968</v>
      </c>
      <c r="O27" s="3">
        <f t="shared" si="1"/>
        <v>5.2906119753197256E-2</v>
      </c>
      <c r="P27" s="3">
        <f>N27-_xlfn.STDEV.S(Final_std_lv3252627[Residuals2])</f>
        <v>1.41211836069042</v>
      </c>
      <c r="Q27" s="3">
        <f>N27-2*_xlfn.STDEV.S(Final_std_lv3252627[Residuals2])</f>
        <v>1.3257560157476429</v>
      </c>
    </row>
    <row r="28" spans="1:17" x14ac:dyDescent="0.2">
      <c r="A28">
        <v>2018</v>
      </c>
      <c r="B28">
        <v>2</v>
      </c>
      <c r="C28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H28">
        <v>18</v>
      </c>
      <c r="I28">
        <f>_xlfn.FORECAST.LINEAR(Final_std_lv3252627[[#This Row],[TIME]],Final_std_lv3252627[Pillar2],Final_std_lv3252627[TIME])</f>
        <v>1.4941942585762498</v>
      </c>
      <c r="J28" s="3">
        <f>Final_std_lv3252627[[#This Row],[Pillar2]]-Final_std_lv3252627[[#This Row],[Pillar2 SOS]]</f>
        <v>5.7192566810144285E-2</v>
      </c>
      <c r="K28" s="3">
        <f>Final_std_lv3252627[[#This Row],[Pillar2 SOS]]-_xlfn.STDEV.S(Final_std_lv3252627[Residual])</f>
        <v>1.4072100842849975</v>
      </c>
      <c r="L28" s="3">
        <f>Final_std_lv3252627[[#This Row],[Pillar2 SOS]]-2*_xlfn.STDEV.S(Final_std_lv3252627[Residual])</f>
        <v>1.320225909993745</v>
      </c>
      <c r="M28">
        <v>5</v>
      </c>
      <c r="N28" s="3">
        <f t="shared" si="0"/>
        <v>1.4984807056331968</v>
      </c>
      <c r="O28" s="3">
        <f t="shared" si="1"/>
        <v>5.2906119753197256E-2</v>
      </c>
      <c r="P28" s="3">
        <f>N28-_xlfn.STDEV.S(Final_std_lv3252627[Residuals2])</f>
        <v>1.41211836069042</v>
      </c>
      <c r="Q28" s="3">
        <f>N28-2*_xlfn.STDEV.S(Final_std_lv3252627[Residuals2])</f>
        <v>1.3257560157476429</v>
      </c>
    </row>
    <row r="29" spans="1:17" x14ac:dyDescent="0.2">
      <c r="A29">
        <v>2018</v>
      </c>
      <c r="B29">
        <v>1</v>
      </c>
      <c r="C29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D29" t="s">
        <v>35</v>
      </c>
      <c r="E29">
        <v>2</v>
      </c>
      <c r="H29">
        <v>17</v>
      </c>
      <c r="I29">
        <f>_xlfn.FORECAST.LINEAR(Final_std_lv3252627[[#This Row],[TIME]],Final_std_lv3252627[Pillar2],Final_std_lv3252627[TIME])</f>
        <v>1.4850498381880968</v>
      </c>
      <c r="J29" s="3">
        <f>Final_std_lv3252627[[#This Row],[Pillar2]]-Final_std_lv3252627[[#This Row],[Pillar2 SOS]]</f>
        <v>6.6336987198297281E-2</v>
      </c>
      <c r="K29" s="3">
        <f>Final_std_lv3252627[[#This Row],[Pillar2 SOS]]-_xlfn.STDEV.S(Final_std_lv3252627[Residual])</f>
        <v>1.3980656638968445</v>
      </c>
      <c r="L29" s="3">
        <f>Final_std_lv3252627[[#This Row],[Pillar2 SOS]]-2*_xlfn.STDEV.S(Final_std_lv3252627[Residual])</f>
        <v>1.311081489605592</v>
      </c>
      <c r="M29">
        <v>5</v>
      </c>
      <c r="N29" s="3">
        <f t="shared" si="0"/>
        <v>1.4984807056331968</v>
      </c>
      <c r="O29" s="3">
        <f t="shared" si="1"/>
        <v>5.2906119753197256E-2</v>
      </c>
      <c r="P29" s="3">
        <f>N29-_xlfn.STDEV.S(Final_std_lv3252627[Residuals2])</f>
        <v>1.41211836069042</v>
      </c>
      <c r="Q29" s="3">
        <f>N29-2*_xlfn.STDEV.S(Final_std_lv3252627[Residuals2])</f>
        <v>1.3257560157476429</v>
      </c>
    </row>
    <row r="30" spans="1:17" x14ac:dyDescent="0.2">
      <c r="A30">
        <v>2017</v>
      </c>
      <c r="B30">
        <v>4</v>
      </c>
      <c r="C30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H30">
        <v>16</v>
      </c>
      <c r="I30">
        <f>_xlfn.FORECAST.LINEAR(Final_std_lv3252627[[#This Row],[TIME]],Final_std_lv3252627[Pillar2],Final_std_lv3252627[TIME])</f>
        <v>1.4759054177999438</v>
      </c>
      <c r="J30" s="3">
        <f>Final_std_lv3252627[[#This Row],[Pillar2]]-Final_std_lv3252627[[#This Row],[Pillar2 SOS]]</f>
        <v>4.6063470345104607E-2</v>
      </c>
      <c r="K30" s="3">
        <f>Final_std_lv3252627[[#This Row],[Pillar2 SOS]]-_xlfn.STDEV.S(Final_std_lv3252627[Residual])</f>
        <v>1.3889212435086915</v>
      </c>
      <c r="L30" s="3">
        <f>Final_std_lv3252627[[#This Row],[Pillar2 SOS]]-2*_xlfn.STDEV.S(Final_std_lv3252627[Residual])</f>
        <v>1.301937069217439</v>
      </c>
      <c r="M30">
        <v>4</v>
      </c>
      <c r="N30" s="3">
        <f t="shared" si="0"/>
        <v>1.4616172609434548</v>
      </c>
      <c r="O30" s="3">
        <f t="shared" si="1"/>
        <v>6.0351627201593594E-2</v>
      </c>
      <c r="P30" s="3">
        <f>N30-_xlfn.STDEV.S(Final_std_lv3252627[Residuals2])</f>
        <v>1.375254916000678</v>
      </c>
      <c r="Q30" s="3">
        <f>N30-2*_xlfn.STDEV.S(Final_std_lv3252627[Residuals2])</f>
        <v>1.2888925710579009</v>
      </c>
    </row>
    <row r="31" spans="1:17" x14ac:dyDescent="0.2">
      <c r="A31">
        <v>2017</v>
      </c>
      <c r="B31">
        <v>3</v>
      </c>
      <c r="C31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H31">
        <v>15</v>
      </c>
      <c r="I31">
        <f>_xlfn.FORECAST.LINEAR(Final_std_lv3252627[[#This Row],[TIME]],Final_std_lv3252627[Pillar2],Final_std_lv3252627[TIME])</f>
        <v>1.4667609974117908</v>
      </c>
      <c r="J31" s="3">
        <f>Final_std_lv3252627[[#This Row],[Pillar2]]-Final_std_lv3252627[[#This Row],[Pillar2 SOS]]</f>
        <v>5.5207890733257603E-2</v>
      </c>
      <c r="K31" s="3">
        <f>Final_std_lv3252627[[#This Row],[Pillar2 SOS]]-_xlfn.STDEV.S(Final_std_lv3252627[Residual])</f>
        <v>1.3797768231205385</v>
      </c>
      <c r="L31" s="3">
        <f>Final_std_lv3252627[[#This Row],[Pillar2 SOS]]-2*_xlfn.STDEV.S(Final_std_lv3252627[Residual])</f>
        <v>1.292792648829286</v>
      </c>
      <c r="M31">
        <v>4</v>
      </c>
      <c r="N31" s="3">
        <f t="shared" si="0"/>
        <v>1.4616172609434548</v>
      </c>
      <c r="O31" s="3">
        <f t="shared" si="1"/>
        <v>6.0351627201593594E-2</v>
      </c>
      <c r="P31" s="3">
        <f>N31-_xlfn.STDEV.S(Final_std_lv3252627[Residuals2])</f>
        <v>1.375254916000678</v>
      </c>
      <c r="Q31" s="3">
        <f>N31-2*_xlfn.STDEV.S(Final_std_lv3252627[Residuals2])</f>
        <v>1.2888925710579009</v>
      </c>
    </row>
    <row r="32" spans="1:17" x14ac:dyDescent="0.2">
      <c r="A32">
        <v>2017</v>
      </c>
      <c r="B32">
        <v>2</v>
      </c>
      <c r="C32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H32">
        <v>14</v>
      </c>
      <c r="I32">
        <f>_xlfn.FORECAST.LINEAR(Final_std_lv3252627[[#This Row],[TIME]],Final_std_lv3252627[Pillar2],Final_std_lv3252627[TIME])</f>
        <v>1.4576165770236376</v>
      </c>
      <c r="J32" s="3">
        <f>Final_std_lv3252627[[#This Row],[Pillar2]]-Final_std_lv3252627[[#This Row],[Pillar2 SOS]]</f>
        <v>6.4352311121410821E-2</v>
      </c>
      <c r="K32" s="3">
        <f>Final_std_lv3252627[[#This Row],[Pillar2 SOS]]-_xlfn.STDEV.S(Final_std_lv3252627[Residual])</f>
        <v>1.3706324027323853</v>
      </c>
      <c r="L32" s="3">
        <f>Final_std_lv3252627[[#This Row],[Pillar2 SOS]]-2*_xlfn.STDEV.S(Final_std_lv3252627[Residual])</f>
        <v>1.2836482284411328</v>
      </c>
      <c r="M32">
        <v>4</v>
      </c>
      <c r="N32" s="3">
        <f t="shared" si="0"/>
        <v>1.4616172609434548</v>
      </c>
      <c r="O32" s="3">
        <f t="shared" si="1"/>
        <v>6.0351627201593594E-2</v>
      </c>
      <c r="P32" s="3">
        <f>N32-_xlfn.STDEV.S(Final_std_lv3252627[Residuals2])</f>
        <v>1.375254916000678</v>
      </c>
      <c r="Q32" s="3">
        <f>N32-2*_xlfn.STDEV.S(Final_std_lv3252627[Residuals2])</f>
        <v>1.2888925710579009</v>
      </c>
    </row>
    <row r="33" spans="1:17" x14ac:dyDescent="0.2">
      <c r="A33">
        <v>2017</v>
      </c>
      <c r="B33">
        <v>1</v>
      </c>
      <c r="C33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H33">
        <v>13</v>
      </c>
      <c r="I33">
        <f>_xlfn.FORECAST.LINEAR(Final_std_lv3252627[[#This Row],[TIME]],Final_std_lv3252627[Pillar2],Final_std_lv3252627[TIME])</f>
        <v>1.4484721566354846</v>
      </c>
      <c r="J33" s="3">
        <f>Final_std_lv3252627[[#This Row],[Pillar2]]-Final_std_lv3252627[[#This Row],[Pillar2 SOS]]</f>
        <v>7.3496731509563817E-2</v>
      </c>
      <c r="K33" s="3">
        <f>Final_std_lv3252627[[#This Row],[Pillar2 SOS]]-_xlfn.STDEV.S(Final_std_lv3252627[Residual])</f>
        <v>1.3614879823442323</v>
      </c>
      <c r="L33" s="3">
        <f>Final_std_lv3252627[[#This Row],[Pillar2 SOS]]-2*_xlfn.STDEV.S(Final_std_lv3252627[Residual])</f>
        <v>1.2745038080529798</v>
      </c>
      <c r="M33">
        <v>4</v>
      </c>
      <c r="N33" s="3">
        <f t="shared" si="0"/>
        <v>1.4616172609434548</v>
      </c>
      <c r="O33" s="3">
        <f t="shared" si="1"/>
        <v>6.0351627201593594E-2</v>
      </c>
      <c r="P33" s="3">
        <f>N33-_xlfn.STDEV.S(Final_std_lv3252627[Residuals2])</f>
        <v>1.375254916000678</v>
      </c>
      <c r="Q33" s="3">
        <f>N33-2*_xlfn.STDEV.S(Final_std_lv3252627[Residuals2])</f>
        <v>1.2888925710579009</v>
      </c>
    </row>
    <row r="34" spans="1:17" x14ac:dyDescent="0.2">
      <c r="A34">
        <v>2016</v>
      </c>
      <c r="B34">
        <v>4</v>
      </c>
      <c r="C34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D34" t="s">
        <v>38</v>
      </c>
      <c r="E34">
        <v>1</v>
      </c>
      <c r="H34">
        <v>12</v>
      </c>
      <c r="I34">
        <f>_xlfn.FORECAST.LINEAR(Final_std_lv3252627[[#This Row],[TIME]],Final_std_lv3252627[Pillar2],Final_std_lv3252627[TIME])</f>
        <v>1.4393277362473316</v>
      </c>
      <c r="J34" s="3">
        <f>Final_std_lv3252627[[#This Row],[Pillar2]]-Final_std_lv3252627[[#This Row],[Pillar2 SOS]]</f>
        <v>2.9299829128112576E-2</v>
      </c>
      <c r="K34" s="3">
        <f>Final_std_lv3252627[[#This Row],[Pillar2 SOS]]-_xlfn.STDEV.S(Final_std_lv3252627[Residual])</f>
        <v>1.3523435619560793</v>
      </c>
      <c r="L34" s="3">
        <f>Final_std_lv3252627[[#This Row],[Pillar2 SOS]]-2*_xlfn.STDEV.S(Final_std_lv3252627[Residual])</f>
        <v>1.2653593876648268</v>
      </c>
      <c r="M34">
        <v>3</v>
      </c>
      <c r="N34" s="3">
        <f t="shared" si="0"/>
        <v>1.424753816253713</v>
      </c>
      <c r="O34" s="3">
        <f t="shared" si="1"/>
        <v>4.3873749121731143E-2</v>
      </c>
      <c r="P34" s="3">
        <f>N34-_xlfn.STDEV.S(Final_std_lv3252627[Residuals2])</f>
        <v>1.3383914713109362</v>
      </c>
      <c r="Q34" s="3">
        <f>N34-2*_xlfn.STDEV.S(Final_std_lv3252627[Residuals2])</f>
        <v>1.2520291263681591</v>
      </c>
    </row>
    <row r="35" spans="1:17" x14ac:dyDescent="0.2">
      <c r="A35">
        <v>2016</v>
      </c>
      <c r="B35">
        <v>3</v>
      </c>
      <c r="C35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H35">
        <v>11</v>
      </c>
      <c r="I35">
        <f>_xlfn.FORECAST.LINEAR(Final_std_lv3252627[[#This Row],[TIME]],Final_std_lv3252627[Pillar2],Final_std_lv3252627[TIME])</f>
        <v>1.4301833158591786</v>
      </c>
      <c r="J35" s="3">
        <f>Final_std_lv3252627[[#This Row],[Pillar2]]-Final_std_lv3252627[[#This Row],[Pillar2 SOS]]</f>
        <v>3.8444249516265572E-2</v>
      </c>
      <c r="K35" s="3">
        <f>Final_std_lv3252627[[#This Row],[Pillar2 SOS]]-_xlfn.STDEV.S(Final_std_lv3252627[Residual])</f>
        <v>1.3431991415679263</v>
      </c>
      <c r="L35" s="3">
        <f>Final_std_lv3252627[[#This Row],[Pillar2 SOS]]-2*_xlfn.STDEV.S(Final_std_lv3252627[Residual])</f>
        <v>1.2562149672766738</v>
      </c>
      <c r="M35">
        <v>3</v>
      </c>
      <c r="N35" s="3">
        <f t="shared" si="0"/>
        <v>1.424753816253713</v>
      </c>
      <c r="O35" s="3">
        <f t="shared" si="1"/>
        <v>4.3873749121731143E-2</v>
      </c>
      <c r="P35" s="3">
        <f>N35-_xlfn.STDEV.S(Final_std_lv3252627[Residuals2])</f>
        <v>1.3383914713109362</v>
      </c>
      <c r="Q35" s="3">
        <f>N35-2*_xlfn.STDEV.S(Final_std_lv3252627[Residuals2])</f>
        <v>1.2520291263681591</v>
      </c>
    </row>
    <row r="36" spans="1:17" x14ac:dyDescent="0.2">
      <c r="A36">
        <v>2016</v>
      </c>
      <c r="B36">
        <v>2</v>
      </c>
      <c r="C36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D36" t="s">
        <v>38</v>
      </c>
      <c r="E36">
        <v>2</v>
      </c>
      <c r="H36">
        <v>10</v>
      </c>
      <c r="I36">
        <f>_xlfn.FORECAST.LINEAR(Final_std_lv3252627[[#This Row],[TIME]],Final_std_lv3252627[Pillar2],Final_std_lv3252627[TIME])</f>
        <v>1.4210388954710256</v>
      </c>
      <c r="J36" s="3">
        <f>Final_std_lv3252627[[#This Row],[Pillar2]]-Final_std_lv3252627[[#This Row],[Pillar2 SOS]]</f>
        <v>4.7588669904418568E-2</v>
      </c>
      <c r="K36" s="3">
        <f>Final_std_lv3252627[[#This Row],[Pillar2 SOS]]-_xlfn.STDEV.S(Final_std_lv3252627[Residual])</f>
        <v>1.3340547211797733</v>
      </c>
      <c r="L36" s="3">
        <f>Final_std_lv3252627[[#This Row],[Pillar2 SOS]]-2*_xlfn.STDEV.S(Final_std_lv3252627[Residual])</f>
        <v>1.2470705468885208</v>
      </c>
      <c r="M36">
        <v>3</v>
      </c>
      <c r="N36" s="3">
        <f t="shared" si="0"/>
        <v>1.424753816253713</v>
      </c>
      <c r="O36" s="3">
        <f t="shared" si="1"/>
        <v>4.3873749121731143E-2</v>
      </c>
      <c r="P36" s="3">
        <f>N36-_xlfn.STDEV.S(Final_std_lv3252627[Residuals2])</f>
        <v>1.3383914713109362</v>
      </c>
      <c r="Q36" s="3">
        <f>N36-2*_xlfn.STDEV.S(Final_std_lv3252627[Residuals2])</f>
        <v>1.2520291263681591</v>
      </c>
    </row>
    <row r="37" spans="1:17" x14ac:dyDescent="0.2">
      <c r="A37">
        <v>2016</v>
      </c>
      <c r="B37">
        <v>1</v>
      </c>
      <c r="C37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D37" t="s">
        <v>38</v>
      </c>
      <c r="E37">
        <v>2</v>
      </c>
      <c r="H37">
        <v>9</v>
      </c>
      <c r="I37">
        <f>_xlfn.FORECAST.LINEAR(Final_std_lv3252627[[#This Row],[TIME]],Final_std_lv3252627[Pillar2],Final_std_lv3252627[TIME])</f>
        <v>1.4118944750828726</v>
      </c>
      <c r="J37" s="3">
        <f>Final_std_lv3252627[[#This Row],[Pillar2]]-Final_std_lv3252627[[#This Row],[Pillar2 SOS]]</f>
        <v>5.6733090292571564E-2</v>
      </c>
      <c r="K37" s="3">
        <f>Final_std_lv3252627[[#This Row],[Pillar2 SOS]]-_xlfn.STDEV.S(Final_std_lv3252627[Residual])</f>
        <v>1.3249103007916203</v>
      </c>
      <c r="L37" s="3">
        <f>Final_std_lv3252627[[#This Row],[Pillar2 SOS]]-2*_xlfn.STDEV.S(Final_std_lv3252627[Residual])</f>
        <v>1.2379261265003678</v>
      </c>
      <c r="M37">
        <v>3</v>
      </c>
      <c r="N37" s="3">
        <f t="shared" si="0"/>
        <v>1.424753816253713</v>
      </c>
      <c r="O37" s="3">
        <f t="shared" si="1"/>
        <v>4.3873749121731143E-2</v>
      </c>
      <c r="P37" s="3">
        <f>N37-_xlfn.STDEV.S(Final_std_lv3252627[Residuals2])</f>
        <v>1.3383914713109362</v>
      </c>
      <c r="Q37" s="3">
        <f>N37-2*_xlfn.STDEV.S(Final_std_lv3252627[Residuals2])</f>
        <v>1.2520291263681591</v>
      </c>
    </row>
    <row r="38" spans="1:17" x14ac:dyDescent="0.2">
      <c r="A38">
        <v>2015</v>
      </c>
      <c r="B38">
        <v>4</v>
      </c>
      <c r="C38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D38" t="s">
        <v>38</v>
      </c>
      <c r="E38">
        <v>2</v>
      </c>
      <c r="H38">
        <v>8</v>
      </c>
      <c r="I38">
        <f>_xlfn.FORECAST.LINEAR(Final_std_lv3252627[[#This Row],[TIME]],Final_std_lv3252627[Pillar2],Final_std_lv3252627[TIME])</f>
        <v>1.4027500546947194</v>
      </c>
      <c r="J38" s="3">
        <f>Final_std_lv3252627[[#This Row],[Pillar2]]-Final_std_lv3252627[[#This Row],[Pillar2 SOS]]</f>
        <v>-5.4903245694544411E-2</v>
      </c>
      <c r="K38" s="3">
        <f>Final_std_lv3252627[[#This Row],[Pillar2 SOS]]-_xlfn.STDEV.S(Final_std_lv3252627[Residual])</f>
        <v>1.3157658804034671</v>
      </c>
      <c r="L38" s="3">
        <f>Final_std_lv3252627[[#This Row],[Pillar2 SOS]]-2*_xlfn.STDEV.S(Final_std_lv3252627[Residual])</f>
        <v>1.2287817061122146</v>
      </c>
      <c r="M38">
        <v>2</v>
      </c>
      <c r="N38" s="3">
        <f t="shared" si="0"/>
        <v>1.387890371563971</v>
      </c>
      <c r="O38" s="3">
        <f t="shared" si="1"/>
        <v>-4.0043562563796042E-2</v>
      </c>
      <c r="P38" s="3">
        <f>N38-_xlfn.STDEV.S(Final_std_lv3252627[Residuals2])</f>
        <v>1.3015280266211942</v>
      </c>
      <c r="Q38" s="3">
        <f>N38-2*_xlfn.STDEV.S(Final_std_lv3252627[Residuals2])</f>
        <v>1.2151656816784171</v>
      </c>
    </row>
    <row r="39" spans="1:17" x14ac:dyDescent="0.2">
      <c r="A39">
        <v>2015</v>
      </c>
      <c r="B39">
        <v>3</v>
      </c>
      <c r="C39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H39">
        <v>7</v>
      </c>
      <c r="I39">
        <f>_xlfn.FORECAST.LINEAR(Final_std_lv3252627[[#This Row],[TIME]],Final_std_lv3252627[Pillar2],Final_std_lv3252627[TIME])</f>
        <v>1.3936056343065664</v>
      </c>
      <c r="J39" s="3">
        <f>Final_std_lv3252627[[#This Row],[Pillar2]]-Final_std_lv3252627[[#This Row],[Pillar2 SOS]]</f>
        <v>-4.5758825306391415E-2</v>
      </c>
      <c r="K39" s="3">
        <f>Final_std_lv3252627[[#This Row],[Pillar2 SOS]]-_xlfn.STDEV.S(Final_std_lv3252627[Residual])</f>
        <v>1.3066214600153141</v>
      </c>
      <c r="L39" s="3">
        <f>Final_std_lv3252627[[#This Row],[Pillar2 SOS]]-2*_xlfn.STDEV.S(Final_std_lv3252627[Residual])</f>
        <v>1.2196372857240616</v>
      </c>
      <c r="M39">
        <v>2</v>
      </c>
      <c r="N39" s="3">
        <f t="shared" si="0"/>
        <v>1.387890371563971</v>
      </c>
      <c r="O39" s="3">
        <f t="shared" si="1"/>
        <v>-4.0043562563796042E-2</v>
      </c>
      <c r="P39" s="3">
        <f>N39-_xlfn.STDEV.S(Final_std_lv3252627[Residuals2])</f>
        <v>1.3015280266211942</v>
      </c>
      <c r="Q39" s="3">
        <f>N39-2*_xlfn.STDEV.S(Final_std_lv3252627[Residuals2])</f>
        <v>1.2151656816784171</v>
      </c>
    </row>
    <row r="40" spans="1:17" x14ac:dyDescent="0.2">
      <c r="A40">
        <v>2015</v>
      </c>
      <c r="B40">
        <v>2</v>
      </c>
      <c r="C40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D40" t="s">
        <v>35</v>
      </c>
      <c r="E40">
        <v>2</v>
      </c>
      <c r="H40">
        <v>6</v>
      </c>
      <c r="I40">
        <f>_xlfn.FORECAST.LINEAR(Final_std_lv3252627[[#This Row],[TIME]],Final_std_lv3252627[Pillar2],Final_std_lv3252627[TIME])</f>
        <v>1.3844612139184134</v>
      </c>
      <c r="J40" s="3">
        <f>Final_std_lv3252627[[#This Row],[Pillar2]]-Final_std_lv3252627[[#This Row],[Pillar2 SOS]]</f>
        <v>-3.6614404918238419E-2</v>
      </c>
      <c r="K40" s="3">
        <f>Final_std_lv3252627[[#This Row],[Pillar2 SOS]]-_xlfn.STDEV.S(Final_std_lv3252627[Residual])</f>
        <v>1.2974770396271611</v>
      </c>
      <c r="L40" s="3">
        <f>Final_std_lv3252627[[#This Row],[Pillar2 SOS]]-2*_xlfn.STDEV.S(Final_std_lv3252627[Residual])</f>
        <v>1.2104928653359086</v>
      </c>
      <c r="M40">
        <v>2</v>
      </c>
      <c r="N40" s="3">
        <f t="shared" si="0"/>
        <v>1.387890371563971</v>
      </c>
      <c r="O40" s="3">
        <f t="shared" si="1"/>
        <v>-4.0043562563796042E-2</v>
      </c>
      <c r="P40" s="3">
        <f>N40-_xlfn.STDEV.S(Final_std_lv3252627[Residuals2])</f>
        <v>1.3015280266211942</v>
      </c>
      <c r="Q40" s="3">
        <f>N40-2*_xlfn.STDEV.S(Final_std_lv3252627[Residuals2])</f>
        <v>1.2151656816784171</v>
      </c>
    </row>
    <row r="41" spans="1:17" x14ac:dyDescent="0.2">
      <c r="A41">
        <v>2015</v>
      </c>
      <c r="B41">
        <v>1</v>
      </c>
      <c r="C41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H41">
        <v>5</v>
      </c>
      <c r="I41">
        <f>_xlfn.FORECAST.LINEAR(Final_std_lv3252627[[#This Row],[TIME]],Final_std_lv3252627[Pillar2],Final_std_lv3252627[TIME])</f>
        <v>1.3753167935302604</v>
      </c>
      <c r="J41" s="3">
        <f>Final_std_lv3252627[[#This Row],[Pillar2]]-Final_std_lv3252627[[#This Row],[Pillar2 SOS]]</f>
        <v>-2.7469984530085423E-2</v>
      </c>
      <c r="K41" s="3">
        <f>Final_std_lv3252627[[#This Row],[Pillar2 SOS]]-_xlfn.STDEV.S(Final_std_lv3252627[Residual])</f>
        <v>1.2883326192390081</v>
      </c>
      <c r="L41" s="3">
        <f>Final_std_lv3252627[[#This Row],[Pillar2 SOS]]-2*_xlfn.STDEV.S(Final_std_lv3252627[Residual])</f>
        <v>1.2013484449477556</v>
      </c>
      <c r="M41">
        <v>2</v>
      </c>
      <c r="N41" s="3">
        <f t="shared" si="0"/>
        <v>1.387890371563971</v>
      </c>
      <c r="O41" s="3">
        <f t="shared" si="1"/>
        <v>-4.0043562563796042E-2</v>
      </c>
      <c r="P41" s="3">
        <f>N41-_xlfn.STDEV.S(Final_std_lv3252627[Residuals2])</f>
        <v>1.3015280266211942</v>
      </c>
      <c r="Q41" s="3">
        <f>N41-2*_xlfn.STDEV.S(Final_std_lv3252627[Residuals2])</f>
        <v>1.2151656816784171</v>
      </c>
    </row>
    <row r="42" spans="1:17" x14ac:dyDescent="0.2">
      <c r="A42">
        <v>2014</v>
      </c>
      <c r="B42">
        <v>4</v>
      </c>
      <c r="C42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D42" t="s">
        <v>38</v>
      </c>
      <c r="E42">
        <v>1</v>
      </c>
      <c r="H42">
        <v>4</v>
      </c>
      <c r="I42">
        <f>_xlfn.FORECAST.LINEAR(Final_std_lv3252627[[#This Row],[TIME]],Final_std_lv3252627[Pillar2],Final_std_lv3252627[TIME])</f>
        <v>1.3661723731421074</v>
      </c>
      <c r="J42" s="3">
        <f>Final_std_lv3252627[[#This Row],[Pillar2]]-Final_std_lv3252627[[#This Row],[Pillar2 SOS]]</f>
        <v>-0.17616708813825865</v>
      </c>
      <c r="K42" s="3">
        <f>Final_std_lv3252627[[#This Row],[Pillar2 SOS]]-_xlfn.STDEV.S(Final_std_lv3252627[Residual])</f>
        <v>1.2791881988508551</v>
      </c>
      <c r="L42" s="3">
        <f>Final_std_lv3252627[[#This Row],[Pillar2 SOS]]-2*_xlfn.STDEV.S(Final_std_lv3252627[Residual])</f>
        <v>1.1922040245596026</v>
      </c>
      <c r="M42">
        <v>1</v>
      </c>
      <c r="N42" s="3">
        <f t="shared" si="0"/>
        <v>1.3510269268742292</v>
      </c>
      <c r="O42" s="3">
        <f t="shared" si="1"/>
        <v>-0.16102164187038048</v>
      </c>
      <c r="P42" s="3">
        <f>N42-_xlfn.STDEV.S(Final_std_lv3252627[Residuals2])</f>
        <v>1.2646645819314524</v>
      </c>
      <c r="Q42" s="3">
        <f>N42-2*_xlfn.STDEV.S(Final_std_lv3252627[Residuals2])</f>
        <v>1.1783022369886753</v>
      </c>
    </row>
    <row r="43" spans="1:17" x14ac:dyDescent="0.2">
      <c r="A43">
        <v>2014</v>
      </c>
      <c r="B43">
        <v>3</v>
      </c>
      <c r="C43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H43">
        <v>3</v>
      </c>
      <c r="I43">
        <f>_xlfn.FORECAST.LINEAR(Final_std_lv3252627[[#This Row],[TIME]],Final_std_lv3252627[Pillar2],Final_std_lv3252627[TIME])</f>
        <v>1.3570279527539544</v>
      </c>
      <c r="J43" s="3">
        <f>Final_std_lv3252627[[#This Row],[Pillar2]]-Final_std_lv3252627[[#This Row],[Pillar2 SOS]]</f>
        <v>-0.16702266775010566</v>
      </c>
      <c r="K43" s="3">
        <f>Final_std_lv3252627[[#This Row],[Pillar2 SOS]]-_xlfn.STDEV.S(Final_std_lv3252627[Residual])</f>
        <v>1.2700437784627021</v>
      </c>
      <c r="L43" s="3">
        <f>Final_std_lv3252627[[#This Row],[Pillar2 SOS]]-2*_xlfn.STDEV.S(Final_std_lv3252627[Residual])</f>
        <v>1.1830596041714496</v>
      </c>
      <c r="M43">
        <v>1</v>
      </c>
      <c r="N43" s="3">
        <f t="shared" si="0"/>
        <v>1.3510269268742292</v>
      </c>
      <c r="O43" s="3">
        <f t="shared" si="1"/>
        <v>-0.16102164187038048</v>
      </c>
      <c r="P43" s="3">
        <f>N43-_xlfn.STDEV.S(Final_std_lv3252627[Residuals2])</f>
        <v>1.2646645819314524</v>
      </c>
      <c r="Q43" s="3">
        <f>N43-2*_xlfn.STDEV.S(Final_std_lv3252627[Residuals2])</f>
        <v>1.1783022369886753</v>
      </c>
    </row>
    <row r="44" spans="1:17" x14ac:dyDescent="0.2">
      <c r="A44">
        <v>2014</v>
      </c>
      <c r="B44">
        <v>2</v>
      </c>
      <c r="C44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H44">
        <v>2</v>
      </c>
      <c r="I44">
        <f>_xlfn.FORECAST.LINEAR(Final_std_lv3252627[[#This Row],[TIME]],Final_std_lv3252627[Pillar2],Final_std_lv3252627[TIME])</f>
        <v>1.3478835323658012</v>
      </c>
      <c r="J44" s="3">
        <f>Final_std_lv3252627[[#This Row],[Pillar2]]-Final_std_lv3252627[[#This Row],[Pillar2 SOS]]</f>
        <v>-0.15787824736195244</v>
      </c>
      <c r="K44" s="3">
        <f>Final_std_lv3252627[[#This Row],[Pillar2 SOS]]-_xlfn.STDEV.S(Final_std_lv3252627[Residual])</f>
        <v>1.2608993580745489</v>
      </c>
      <c r="L44" s="3">
        <f>Final_std_lv3252627[[#This Row],[Pillar2 SOS]]-2*_xlfn.STDEV.S(Final_std_lv3252627[Residual])</f>
        <v>1.1739151837832964</v>
      </c>
      <c r="M44">
        <v>1</v>
      </c>
      <c r="N44" s="3">
        <f t="shared" si="0"/>
        <v>1.3510269268742292</v>
      </c>
      <c r="O44" s="3">
        <f t="shared" si="1"/>
        <v>-0.16102164187038048</v>
      </c>
      <c r="P44" s="3">
        <f>N44-_xlfn.STDEV.S(Final_std_lv3252627[Residuals2])</f>
        <v>1.2646645819314524</v>
      </c>
      <c r="Q44" s="3">
        <f>N44-2*_xlfn.STDEV.S(Final_std_lv3252627[Residuals2])</f>
        <v>1.1783022369886753</v>
      </c>
    </row>
    <row r="45" spans="1:17" x14ac:dyDescent="0.2">
      <c r="A45">
        <v>2014</v>
      </c>
      <c r="B45">
        <v>1</v>
      </c>
      <c r="C45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H45">
        <v>1</v>
      </c>
      <c r="I45">
        <f>_xlfn.FORECAST.LINEAR(Final_std_lv3252627[[#This Row],[TIME]],Final_std_lv3252627[Pillar2],Final_std_lv3252627[TIME])</f>
        <v>1.3387391119776482</v>
      </c>
      <c r="J45" s="3">
        <f>Final_std_lv3252627[[#This Row],[Pillar2]]-Final_std_lv3252627[[#This Row],[Pillar2 SOS]]</f>
        <v>-0.14873382697379944</v>
      </c>
      <c r="K45" s="3">
        <f>Final_std_lv3252627[[#This Row],[Pillar2 SOS]]-_xlfn.STDEV.S(Final_std_lv3252627[Residual])</f>
        <v>1.2517549376863959</v>
      </c>
      <c r="L45" s="3">
        <f>Final_std_lv3252627[[#This Row],[Pillar2 SOS]]-2*_xlfn.STDEV.S(Final_std_lv3252627[Residual])</f>
        <v>1.1647707633951434</v>
      </c>
      <c r="M45">
        <v>1</v>
      </c>
      <c r="N45" s="3">
        <f t="shared" si="0"/>
        <v>1.3510269268742292</v>
      </c>
      <c r="O45" s="3">
        <f t="shared" si="1"/>
        <v>-0.16102164187038048</v>
      </c>
      <c r="P45" s="3">
        <f>N45-_xlfn.STDEV.S(Final_std_lv3252627[Residuals2])</f>
        <v>1.2646645819314524</v>
      </c>
      <c r="Q45" s="3">
        <f>N45-2*_xlfn.STDEV.S(Final_std_lv3252627[Residuals2])</f>
        <v>1.1783022369886753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4940-E166-8143-BD14-9771F6676641}">
  <dimension ref="A1:L45"/>
  <sheetViews>
    <sheetView workbookViewId="0">
      <selection activeCell="L2" sqref="L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144</v>
      </c>
      <c r="D1" t="s">
        <v>31</v>
      </c>
      <c r="E1" t="s">
        <v>119</v>
      </c>
      <c r="F1" t="s">
        <v>95</v>
      </c>
      <c r="G1" t="s">
        <v>120</v>
      </c>
      <c r="H1" t="s">
        <v>127</v>
      </c>
      <c r="I1" t="s">
        <v>145</v>
      </c>
      <c r="J1" t="s">
        <v>128</v>
      </c>
      <c r="K1" t="s">
        <v>136</v>
      </c>
      <c r="L1" t="s">
        <v>137</v>
      </c>
    </row>
    <row r="2" spans="1:12" x14ac:dyDescent="0.2">
      <c r="A2">
        <v>2024</v>
      </c>
      <c r="B2">
        <v>4</v>
      </c>
      <c r="C2" s="3">
        <f>POWER(Pillar3_quarterly1520[[#This Row],[A. ECONOMIC]]^3*Pillar3_quarterly1520[[#This Row],[B. BIOPHYSICAL &amp; CLIMATE]]^3, 1/6)</f>
        <v>1.7629727254023047</v>
      </c>
      <c r="H2">
        <v>44</v>
      </c>
      <c r="I2">
        <f>_xlfn.FORECAST.LINEAR(Final_std_lv325262728[[#This Row],[TIME]],Final_std_lv325262728[Pillar 3],Final_std_lv325262728[TIME])</f>
        <v>1.6303024741783794</v>
      </c>
      <c r="J2" s="3">
        <f>Final_std_lv325262728[[#This Row],[Pillar 3]]-Final_std_lv325262728[[#This Row],[Pillar3 Trendline]]</f>
        <v>0.13267025122392528</v>
      </c>
      <c r="K2" s="3">
        <f>Final_std_lv325262728[[#This Row],[Pillar3 Trendline]]-_xlfn.STDEV.S(Final_std_lv325262728[Residual])</f>
        <v>1.5137845090703705</v>
      </c>
      <c r="L2">
        <f>Final_std_lv325262728[[#This Row],[Pillar3 Trendline]]-2*_xlfn.STDEV.S(Final_std_lv325262728[Residual])</f>
        <v>1.3972665439623615</v>
      </c>
    </row>
    <row r="3" spans="1:12" x14ac:dyDescent="0.2">
      <c r="A3">
        <v>2024</v>
      </c>
      <c r="B3">
        <v>3</v>
      </c>
      <c r="C3" s="3">
        <f>POWER(Pillar3_quarterly1520[[#This Row],[A. ECONOMIC]]^3*Pillar3_quarterly1520[[#This Row],[B. BIOPHYSICAL &amp; CLIMATE]]^3, 1/6)</f>
        <v>1.49091937311651</v>
      </c>
      <c r="D3" t="s">
        <v>38</v>
      </c>
      <c r="E3">
        <v>2</v>
      </c>
      <c r="H3">
        <v>43</v>
      </c>
      <c r="I3">
        <f>_xlfn.FORECAST.LINEAR(Final_std_lv325262728[[#This Row],[TIME]],Final_std_lv325262728[Pillar 3],Final_std_lv325262728[TIME])</f>
        <v>1.6337525782297477</v>
      </c>
      <c r="J3" s="3">
        <f>Final_std_lv325262728[[#This Row],[Pillar 3]]-Final_std_lv325262728[[#This Row],[Pillar3 Trendline]]</f>
        <v>-0.14283320511323772</v>
      </c>
      <c r="K3" s="3">
        <f>Final_std_lv325262728[[#This Row],[Pillar3 Trendline]]-_xlfn.STDEV.S(Final_std_lv325262728[Residual])</f>
        <v>1.5172346131217389</v>
      </c>
      <c r="L3">
        <f>Final_std_lv325262728[[#This Row],[Pillar3 Trendline]]-2*_xlfn.STDEV.S(Final_std_lv325262728[Residual])</f>
        <v>1.4007166480137299</v>
      </c>
    </row>
    <row r="4" spans="1:12" x14ac:dyDescent="0.2">
      <c r="A4">
        <v>2024</v>
      </c>
      <c r="B4">
        <v>2</v>
      </c>
      <c r="C4" s="3">
        <f>POWER(Pillar3_quarterly1520[[#This Row],[A. ECONOMIC]]^3*Pillar3_quarterly1520[[#This Row],[B. BIOPHYSICAL &amp; CLIMATE]]^3, 1/6)</f>
        <v>1.6530763400113659</v>
      </c>
      <c r="D4" t="s">
        <v>38</v>
      </c>
      <c r="E4">
        <v>2</v>
      </c>
      <c r="H4">
        <v>42</v>
      </c>
      <c r="I4">
        <f>_xlfn.FORECAST.LINEAR(Final_std_lv325262728[[#This Row],[TIME]],Final_std_lv325262728[Pillar 3],Final_std_lv325262728[TIME])</f>
        <v>1.6372026822811159</v>
      </c>
      <c r="J4" s="3">
        <f>Final_std_lv325262728[[#This Row],[Pillar 3]]-Final_std_lv325262728[[#This Row],[Pillar3 Trendline]]</f>
        <v>1.5873657730250068E-2</v>
      </c>
      <c r="K4" s="3">
        <f>Final_std_lv325262728[[#This Row],[Pillar3 Trendline]]-_xlfn.STDEV.S(Final_std_lv325262728[Residual])</f>
        <v>1.520684717173107</v>
      </c>
      <c r="L4">
        <f>Final_std_lv325262728[[#This Row],[Pillar3 Trendline]]-2*_xlfn.STDEV.S(Final_std_lv325262728[Residual])</f>
        <v>1.404166752065098</v>
      </c>
    </row>
    <row r="5" spans="1:12" x14ac:dyDescent="0.2">
      <c r="A5">
        <v>2024</v>
      </c>
      <c r="B5">
        <v>1</v>
      </c>
      <c r="C5" s="3">
        <f>POWER(Pillar3_quarterly1520[[#This Row],[A. ECONOMIC]]^3*Pillar3_quarterly1520[[#This Row],[B. BIOPHYSICAL &amp; CLIMATE]]^3, 1/6)</f>
        <v>1.7167077085412976</v>
      </c>
      <c r="H5">
        <v>41</v>
      </c>
      <c r="I5">
        <f>_xlfn.FORECAST.LINEAR(Final_std_lv325262728[[#This Row],[TIME]],Final_std_lv325262728[Pillar 3],Final_std_lv325262728[TIME])</f>
        <v>1.6406527863324842</v>
      </c>
      <c r="J5" s="3">
        <f>Final_std_lv325262728[[#This Row],[Pillar 3]]-Final_std_lv325262728[[#This Row],[Pillar3 Trendline]]</f>
        <v>7.605492220881338E-2</v>
      </c>
      <c r="K5" s="3">
        <f>Final_std_lv325262728[[#This Row],[Pillar3 Trendline]]-_xlfn.STDEV.S(Final_std_lv325262728[Residual])</f>
        <v>1.5241348212244754</v>
      </c>
      <c r="L5">
        <f>Final_std_lv325262728[[#This Row],[Pillar3 Trendline]]-2*_xlfn.STDEV.S(Final_std_lv325262728[Residual])</f>
        <v>1.4076168561164664</v>
      </c>
    </row>
    <row r="6" spans="1:12" x14ac:dyDescent="0.2">
      <c r="A6">
        <v>2023</v>
      </c>
      <c r="B6">
        <v>4</v>
      </c>
      <c r="C6" s="3">
        <f>POWER(Pillar3_quarterly1520[[#This Row],[A. ECONOMIC]]^3*Pillar3_quarterly1520[[#This Row],[B. BIOPHYSICAL &amp; CLIMATE]]^3, 1/6)</f>
        <v>1.8139763515755498</v>
      </c>
      <c r="H6">
        <v>40</v>
      </c>
      <c r="I6">
        <f>_xlfn.FORECAST.LINEAR(Final_std_lv325262728[[#This Row],[TIME]],Final_std_lv325262728[Pillar 3],Final_std_lv325262728[TIME])</f>
        <v>1.6441028903838526</v>
      </c>
      <c r="J6" s="3">
        <f>Final_std_lv325262728[[#This Row],[Pillar 3]]-Final_std_lv325262728[[#This Row],[Pillar3 Trendline]]</f>
        <v>0.16987346119169722</v>
      </c>
      <c r="K6" s="3">
        <f>Final_std_lv325262728[[#This Row],[Pillar3 Trendline]]-_xlfn.STDEV.S(Final_std_lv325262728[Residual])</f>
        <v>1.5275849252758438</v>
      </c>
      <c r="L6">
        <f>Final_std_lv325262728[[#This Row],[Pillar3 Trendline]]-2*_xlfn.STDEV.S(Final_std_lv325262728[Residual])</f>
        <v>1.4110669601678347</v>
      </c>
    </row>
    <row r="7" spans="1:12" x14ac:dyDescent="0.2">
      <c r="A7">
        <v>2023</v>
      </c>
      <c r="B7">
        <v>3</v>
      </c>
      <c r="C7" s="3">
        <f>POWER(Pillar3_quarterly1520[[#This Row],[A. ECONOMIC]]^3*Pillar3_quarterly1520[[#This Row],[B. BIOPHYSICAL &amp; CLIMATE]]^3, 1/6)</f>
        <v>1.8171886999978974</v>
      </c>
      <c r="H7">
        <v>39</v>
      </c>
      <c r="I7">
        <f>_xlfn.FORECAST.LINEAR(Final_std_lv325262728[[#This Row],[TIME]],Final_std_lv325262728[Pillar 3],Final_std_lv325262728[TIME])</f>
        <v>1.647552994435221</v>
      </c>
      <c r="J7" s="3">
        <f>Final_std_lv325262728[[#This Row],[Pillar 3]]-Final_std_lv325262728[[#This Row],[Pillar3 Trendline]]</f>
        <v>0.16963570556267649</v>
      </c>
      <c r="K7" s="3">
        <f>Final_std_lv325262728[[#This Row],[Pillar3 Trendline]]-_xlfn.STDEV.S(Final_std_lv325262728[Residual])</f>
        <v>1.5310350293272121</v>
      </c>
      <c r="L7">
        <f>Final_std_lv325262728[[#This Row],[Pillar3 Trendline]]-2*_xlfn.STDEV.S(Final_std_lv325262728[Residual])</f>
        <v>1.4145170642192031</v>
      </c>
    </row>
    <row r="8" spans="1:12" x14ac:dyDescent="0.2">
      <c r="A8">
        <v>2023</v>
      </c>
      <c r="B8">
        <v>2</v>
      </c>
      <c r="C8" s="3">
        <f>POWER(Pillar3_quarterly1520[[#This Row],[A. ECONOMIC]]^3*Pillar3_quarterly1520[[#This Row],[B. BIOPHYSICAL &amp; CLIMATE]]^3, 1/6)</f>
        <v>1.7701631287245116</v>
      </c>
      <c r="D8" t="s">
        <v>35</v>
      </c>
      <c r="E8">
        <v>2</v>
      </c>
      <c r="H8">
        <v>38</v>
      </c>
      <c r="I8">
        <f>_xlfn.FORECAST.LINEAR(Final_std_lv325262728[[#This Row],[TIME]],Final_std_lv325262728[Pillar 3],Final_std_lv325262728[TIME])</f>
        <v>1.6510030984865891</v>
      </c>
      <c r="J8" s="3">
        <f>Final_std_lv325262728[[#This Row],[Pillar 3]]-Final_std_lv325262728[[#This Row],[Pillar3 Trendline]]</f>
        <v>0.11916003023792254</v>
      </c>
      <c r="K8" s="3">
        <f>Final_std_lv325262728[[#This Row],[Pillar3 Trendline]]-_xlfn.STDEV.S(Final_std_lv325262728[Residual])</f>
        <v>1.5344851333785803</v>
      </c>
      <c r="L8">
        <f>Final_std_lv325262728[[#This Row],[Pillar3 Trendline]]-2*_xlfn.STDEV.S(Final_std_lv325262728[Residual])</f>
        <v>1.4179671682705712</v>
      </c>
    </row>
    <row r="9" spans="1:12" x14ac:dyDescent="0.2">
      <c r="A9">
        <v>2023</v>
      </c>
      <c r="B9">
        <v>1</v>
      </c>
      <c r="C9" s="3">
        <f>POWER(Pillar3_quarterly1520[[#This Row],[A. ECONOMIC]]^3*Pillar3_quarterly1520[[#This Row],[B. BIOPHYSICAL &amp; CLIMATE]]^3, 1/6)</f>
        <v>1.7715802877143401</v>
      </c>
      <c r="H9">
        <v>37</v>
      </c>
      <c r="I9">
        <f>_xlfn.FORECAST.LINEAR(Final_std_lv325262728[[#This Row],[TIME]],Final_std_lv325262728[Pillar 3],Final_std_lv325262728[TIME])</f>
        <v>1.6544532025379575</v>
      </c>
      <c r="J9" s="3">
        <f>Final_std_lv325262728[[#This Row],[Pillar 3]]-Final_std_lv325262728[[#This Row],[Pillar3 Trendline]]</f>
        <v>0.11712708517638259</v>
      </c>
      <c r="K9" s="3">
        <f>Final_std_lv325262728[[#This Row],[Pillar3 Trendline]]-_xlfn.STDEV.S(Final_std_lv325262728[Residual])</f>
        <v>1.5379352374299486</v>
      </c>
      <c r="L9">
        <f>Final_std_lv325262728[[#This Row],[Pillar3 Trendline]]-2*_xlfn.STDEV.S(Final_std_lv325262728[Residual])</f>
        <v>1.4214172723219396</v>
      </c>
    </row>
    <row r="10" spans="1:12" x14ac:dyDescent="0.2">
      <c r="A10">
        <v>2022</v>
      </c>
      <c r="B10">
        <v>4</v>
      </c>
      <c r="C10" s="3">
        <f>POWER(Pillar3_quarterly1520[[#This Row],[A. ECONOMIC]]^3*Pillar3_quarterly1520[[#This Row],[B. BIOPHYSICAL &amp; CLIMATE]]^3, 1/6)</f>
        <v>1.6359570418593514</v>
      </c>
      <c r="H10">
        <v>36</v>
      </c>
      <c r="I10">
        <f>_xlfn.FORECAST.LINEAR(Final_std_lv325262728[[#This Row],[TIME]],Final_std_lv325262728[Pillar 3],Final_std_lv325262728[TIME])</f>
        <v>1.6579033065893258</v>
      </c>
      <c r="J10" s="3">
        <f>Final_std_lv325262728[[#This Row],[Pillar 3]]-Final_std_lv325262728[[#This Row],[Pillar3 Trendline]]</f>
        <v>-2.1946264729974407E-2</v>
      </c>
      <c r="K10" s="3">
        <f>Final_std_lv325262728[[#This Row],[Pillar3 Trendline]]-_xlfn.STDEV.S(Final_std_lv325262728[Residual])</f>
        <v>1.541385341481317</v>
      </c>
      <c r="L10">
        <f>Final_std_lv325262728[[#This Row],[Pillar3 Trendline]]-2*_xlfn.STDEV.S(Final_std_lv325262728[Residual])</f>
        <v>1.424867376373308</v>
      </c>
    </row>
    <row r="11" spans="1:12" x14ac:dyDescent="0.2">
      <c r="A11">
        <v>2022</v>
      </c>
      <c r="B11">
        <v>3</v>
      </c>
      <c r="C11" s="3">
        <f>POWER(Pillar3_quarterly1520[[#This Row],[A. ECONOMIC]]^3*Pillar3_quarterly1520[[#This Row],[B. BIOPHYSICAL &amp; CLIMATE]]^3, 1/6)</f>
        <v>1.6836720091311701</v>
      </c>
      <c r="D11" t="s">
        <v>53</v>
      </c>
      <c r="E11">
        <v>2</v>
      </c>
      <c r="H11">
        <v>35</v>
      </c>
      <c r="I11">
        <f>_xlfn.FORECAST.LINEAR(Final_std_lv325262728[[#This Row],[TIME]],Final_std_lv325262728[Pillar 3],Final_std_lv325262728[TIME])</f>
        <v>1.661353410640694</v>
      </c>
      <c r="J11" s="3">
        <f>Final_std_lv325262728[[#This Row],[Pillar 3]]-Final_std_lv325262728[[#This Row],[Pillar3 Trendline]]</f>
        <v>2.2318598490476127E-2</v>
      </c>
      <c r="K11" s="3">
        <f>Final_std_lv325262728[[#This Row],[Pillar3 Trendline]]-_xlfn.STDEV.S(Final_std_lv325262728[Residual])</f>
        <v>1.5448354455326851</v>
      </c>
      <c r="L11">
        <f>Final_std_lv325262728[[#This Row],[Pillar3 Trendline]]-2*_xlfn.STDEV.S(Final_std_lv325262728[Residual])</f>
        <v>1.4283174804246761</v>
      </c>
    </row>
    <row r="12" spans="1:12" x14ac:dyDescent="0.2">
      <c r="A12">
        <v>2022</v>
      </c>
      <c r="B12">
        <v>2</v>
      </c>
      <c r="C12" s="3">
        <f>POWER(Pillar3_quarterly1520[[#This Row],[A. ECONOMIC]]^3*Pillar3_quarterly1520[[#This Row],[B. BIOPHYSICAL &amp; CLIMATE]]^3, 1/6)</f>
        <v>1.5385098085439111</v>
      </c>
      <c r="D12" t="s">
        <v>53</v>
      </c>
      <c r="E12">
        <v>2</v>
      </c>
      <c r="H12">
        <v>34</v>
      </c>
      <c r="I12">
        <f>_xlfn.FORECAST.LINEAR(Final_std_lv325262728[[#This Row],[TIME]],Final_std_lv325262728[Pillar 3],Final_std_lv325262728[TIME])</f>
        <v>1.6648035146920623</v>
      </c>
      <c r="J12" s="3">
        <f>Final_std_lv325262728[[#This Row],[Pillar 3]]-Final_std_lv325262728[[#This Row],[Pillar3 Trendline]]</f>
        <v>-0.12629370614815127</v>
      </c>
      <c r="K12" s="3">
        <f>Final_std_lv325262728[[#This Row],[Pillar3 Trendline]]-_xlfn.STDEV.S(Final_std_lv325262728[Residual])</f>
        <v>1.5482855495840535</v>
      </c>
      <c r="L12">
        <f>Final_std_lv325262728[[#This Row],[Pillar3 Trendline]]-2*_xlfn.STDEV.S(Final_std_lv325262728[Residual])</f>
        <v>1.4317675844760445</v>
      </c>
    </row>
    <row r="13" spans="1:12" x14ac:dyDescent="0.2">
      <c r="A13">
        <v>2022</v>
      </c>
      <c r="B13">
        <v>1</v>
      </c>
      <c r="C13" s="3">
        <f>POWER(Pillar3_quarterly1520[[#This Row],[A. ECONOMIC]]^3*Pillar3_quarterly1520[[#This Row],[B. BIOPHYSICAL &amp; CLIMATE]]^3, 1/6)</f>
        <v>1.581555162348214</v>
      </c>
      <c r="H13">
        <v>33</v>
      </c>
      <c r="I13">
        <f>_xlfn.FORECAST.LINEAR(Final_std_lv325262728[[#This Row],[TIME]],Final_std_lv325262728[Pillar 3],Final_std_lv325262728[TIME])</f>
        <v>1.6682536187434307</v>
      </c>
      <c r="J13" s="3">
        <f>Final_std_lv325262728[[#This Row],[Pillar 3]]-Final_std_lv325262728[[#This Row],[Pillar3 Trendline]]</f>
        <v>-8.6698456395216672E-2</v>
      </c>
      <c r="K13" s="3">
        <f>Final_std_lv325262728[[#This Row],[Pillar3 Trendline]]-_xlfn.STDEV.S(Final_std_lv325262728[Residual])</f>
        <v>1.5517356536354219</v>
      </c>
      <c r="L13">
        <f>Final_std_lv325262728[[#This Row],[Pillar3 Trendline]]-2*_xlfn.STDEV.S(Final_std_lv325262728[Residual])</f>
        <v>1.4352176885274128</v>
      </c>
    </row>
    <row r="14" spans="1:12" x14ac:dyDescent="0.2">
      <c r="A14">
        <v>2021</v>
      </c>
      <c r="B14">
        <v>4</v>
      </c>
      <c r="C14" s="3">
        <f>POWER(Pillar3_quarterly1520[[#This Row],[A. ECONOMIC]]^3*Pillar3_quarterly1520[[#This Row],[B. BIOPHYSICAL &amp; CLIMATE]]^3, 1/6)</f>
        <v>1.6738851015876561</v>
      </c>
      <c r="H14">
        <v>32</v>
      </c>
      <c r="I14">
        <f>_xlfn.FORECAST.LINEAR(Final_std_lv325262728[[#This Row],[TIME]],Final_std_lv325262728[Pillar 3],Final_std_lv325262728[TIME])</f>
        <v>1.6717037227947991</v>
      </c>
      <c r="J14" s="3">
        <f>Final_std_lv325262728[[#This Row],[Pillar 3]]-Final_std_lv325262728[[#This Row],[Pillar3 Trendline]]</f>
        <v>2.1813787928570694E-3</v>
      </c>
      <c r="K14" s="3">
        <f>Final_std_lv325262728[[#This Row],[Pillar3 Trendline]]-_xlfn.STDEV.S(Final_std_lv325262728[Residual])</f>
        <v>1.5551857576867902</v>
      </c>
      <c r="L14">
        <f>Final_std_lv325262728[[#This Row],[Pillar3 Trendline]]-2*_xlfn.STDEV.S(Final_std_lv325262728[Residual])</f>
        <v>1.4386677925787812</v>
      </c>
    </row>
    <row r="15" spans="1:12" x14ac:dyDescent="0.2">
      <c r="A15">
        <v>2021</v>
      </c>
      <c r="B15">
        <v>3</v>
      </c>
      <c r="C15" s="3">
        <f>POWER(Pillar3_quarterly1520[[#This Row],[A. ECONOMIC]]^3*Pillar3_quarterly1520[[#This Row],[B. BIOPHYSICAL &amp; CLIMATE]]^3, 1/6)</f>
        <v>1.4396325325357284</v>
      </c>
      <c r="D15" t="s">
        <v>53</v>
      </c>
      <c r="E15">
        <v>3</v>
      </c>
      <c r="H15">
        <v>31</v>
      </c>
      <c r="I15">
        <f>_xlfn.FORECAST.LINEAR(Final_std_lv325262728[[#This Row],[TIME]],Final_std_lv325262728[Pillar 3],Final_std_lv325262728[TIME])</f>
        <v>1.6751538268461672</v>
      </c>
      <c r="J15" s="3">
        <f>Final_std_lv325262728[[#This Row],[Pillar 3]]-Final_std_lv325262728[[#This Row],[Pillar3 Trendline]]</f>
        <v>-0.23552129431043878</v>
      </c>
      <c r="K15" s="3">
        <f>Final_std_lv325262728[[#This Row],[Pillar3 Trendline]]-_xlfn.STDEV.S(Final_std_lv325262728[Residual])</f>
        <v>1.5586358617381584</v>
      </c>
      <c r="L15">
        <f>Final_std_lv325262728[[#This Row],[Pillar3 Trendline]]-2*_xlfn.STDEV.S(Final_std_lv325262728[Residual])</f>
        <v>1.4421178966301493</v>
      </c>
    </row>
    <row r="16" spans="1:12" x14ac:dyDescent="0.2">
      <c r="A16">
        <v>2021</v>
      </c>
      <c r="B16">
        <v>2</v>
      </c>
      <c r="C16" s="3">
        <f>POWER(Pillar3_quarterly1520[[#This Row],[A. ECONOMIC]]^3*Pillar3_quarterly1520[[#This Row],[B. BIOPHYSICAL &amp; CLIMATE]]^3, 1/6)</f>
        <v>1.6422006151290609</v>
      </c>
      <c r="D16" t="s">
        <v>53</v>
      </c>
      <c r="E16">
        <v>2</v>
      </c>
      <c r="H16">
        <v>30</v>
      </c>
      <c r="I16">
        <f>_xlfn.FORECAST.LINEAR(Final_std_lv325262728[[#This Row],[TIME]],Final_std_lv325262728[Pillar 3],Final_std_lv325262728[TIME])</f>
        <v>1.6786039308975356</v>
      </c>
      <c r="J16" s="3">
        <f>Final_std_lv325262728[[#This Row],[Pillar 3]]-Final_std_lv325262728[[#This Row],[Pillar3 Trendline]]</f>
        <v>-3.6403315768474664E-2</v>
      </c>
      <c r="K16" s="3">
        <f>Final_std_lv325262728[[#This Row],[Pillar3 Trendline]]-_xlfn.STDEV.S(Final_std_lv325262728[Residual])</f>
        <v>1.5620859657895267</v>
      </c>
      <c r="L16">
        <f>Final_std_lv325262728[[#This Row],[Pillar3 Trendline]]-2*_xlfn.STDEV.S(Final_std_lv325262728[Residual])</f>
        <v>1.4455680006815177</v>
      </c>
    </row>
    <row r="17" spans="1:12" x14ac:dyDescent="0.2">
      <c r="A17">
        <v>2021</v>
      </c>
      <c r="B17">
        <v>1</v>
      </c>
      <c r="C17" s="3">
        <f>POWER(Pillar3_quarterly1520[[#This Row],[A. ECONOMIC]]^3*Pillar3_quarterly1520[[#This Row],[B. BIOPHYSICAL &amp; CLIMATE]]^3, 1/6)</f>
        <v>1.7073660114290092</v>
      </c>
      <c r="D17" t="s">
        <v>53</v>
      </c>
      <c r="E17">
        <v>2</v>
      </c>
      <c r="H17">
        <v>29</v>
      </c>
      <c r="I17">
        <f>_xlfn.FORECAST.LINEAR(Final_std_lv325262728[[#This Row],[TIME]],Final_std_lv325262728[Pillar 3],Final_std_lv325262728[TIME])</f>
        <v>1.6820540349489039</v>
      </c>
      <c r="J17" s="3">
        <f>Final_std_lv325262728[[#This Row],[Pillar 3]]-Final_std_lv325262728[[#This Row],[Pillar3 Trendline]]</f>
        <v>2.5311976480105303E-2</v>
      </c>
      <c r="K17" s="3">
        <f>Final_std_lv325262728[[#This Row],[Pillar3 Trendline]]-_xlfn.STDEV.S(Final_std_lv325262728[Residual])</f>
        <v>1.5655360698408951</v>
      </c>
      <c r="L17">
        <f>Final_std_lv325262728[[#This Row],[Pillar3 Trendline]]-2*_xlfn.STDEV.S(Final_std_lv325262728[Residual])</f>
        <v>1.4490181047328861</v>
      </c>
    </row>
    <row r="18" spans="1:12" x14ac:dyDescent="0.2">
      <c r="A18">
        <v>2020</v>
      </c>
      <c r="B18">
        <v>4</v>
      </c>
      <c r="C18" s="3">
        <f>POWER(Pillar3_quarterly1520[[#This Row],[A. ECONOMIC]]^3*Pillar3_quarterly1520[[#This Row],[B. BIOPHYSICAL &amp; CLIMATE]]^3, 1/6)</f>
        <v>1.7849396780913525</v>
      </c>
      <c r="D18" t="s">
        <v>38</v>
      </c>
      <c r="E18">
        <v>1</v>
      </c>
      <c r="H18">
        <v>28</v>
      </c>
      <c r="I18">
        <f>_xlfn.FORECAST.LINEAR(Final_std_lv325262728[[#This Row],[TIME]],Final_std_lv325262728[Pillar 3],Final_std_lv325262728[TIME])</f>
        <v>1.6855041390002721</v>
      </c>
      <c r="J18" s="3">
        <f>Final_std_lv325262728[[#This Row],[Pillar 3]]-Final_std_lv325262728[[#This Row],[Pillar3 Trendline]]</f>
        <v>9.9435539091080383E-2</v>
      </c>
      <c r="K18" s="3">
        <f>Final_std_lv325262728[[#This Row],[Pillar3 Trendline]]-_xlfn.STDEV.S(Final_std_lv325262728[Residual])</f>
        <v>1.5689861738922632</v>
      </c>
      <c r="L18">
        <f>Final_std_lv325262728[[#This Row],[Pillar3 Trendline]]-2*_xlfn.STDEV.S(Final_std_lv325262728[Residual])</f>
        <v>1.4524682087842542</v>
      </c>
    </row>
    <row r="19" spans="1:12" x14ac:dyDescent="0.2">
      <c r="A19">
        <v>2020</v>
      </c>
      <c r="B19">
        <v>3</v>
      </c>
      <c r="C19" s="3">
        <f>POWER(Pillar3_quarterly1520[[#This Row],[A. ECONOMIC]]^3*Pillar3_quarterly1520[[#This Row],[B. BIOPHYSICAL &amp; CLIMATE]]^3, 1/6)</f>
        <v>1.6729092182704226</v>
      </c>
      <c r="D19" t="s">
        <v>35</v>
      </c>
      <c r="E19">
        <v>1</v>
      </c>
      <c r="H19">
        <v>27</v>
      </c>
      <c r="I19">
        <f>_xlfn.FORECAST.LINEAR(Final_std_lv325262728[[#This Row],[TIME]],Final_std_lv325262728[Pillar 3],Final_std_lv325262728[TIME])</f>
        <v>1.6889542430516404</v>
      </c>
      <c r="J19" s="3">
        <f>Final_std_lv325262728[[#This Row],[Pillar 3]]-Final_std_lv325262728[[#This Row],[Pillar3 Trendline]]</f>
        <v>-1.6045024781217831E-2</v>
      </c>
      <c r="K19" s="3">
        <f>Final_std_lv325262728[[#This Row],[Pillar3 Trendline]]-_xlfn.STDEV.S(Final_std_lv325262728[Residual])</f>
        <v>1.5724362779436316</v>
      </c>
      <c r="L19">
        <f>Final_std_lv325262728[[#This Row],[Pillar3 Trendline]]-2*_xlfn.STDEV.S(Final_std_lv325262728[Residual])</f>
        <v>1.4559183128356226</v>
      </c>
    </row>
    <row r="20" spans="1:12" x14ac:dyDescent="0.2">
      <c r="A20">
        <v>2020</v>
      </c>
      <c r="B20">
        <v>2</v>
      </c>
      <c r="C20" s="3">
        <f>POWER(Pillar3_quarterly1520[[#This Row],[A. ECONOMIC]]^3*Pillar3_quarterly1520[[#This Row],[B. BIOPHYSICAL &amp; CLIMATE]]^3, 1/6)</f>
        <v>1.5813145425234856</v>
      </c>
      <c r="D20" t="s">
        <v>35</v>
      </c>
      <c r="E20">
        <v>2</v>
      </c>
      <c r="H20">
        <v>26</v>
      </c>
      <c r="I20">
        <f>_xlfn.FORECAST.LINEAR(Final_std_lv325262728[[#This Row],[TIME]],Final_std_lv325262728[Pillar 3],Final_std_lv325262728[TIME])</f>
        <v>1.6924043471030088</v>
      </c>
      <c r="J20" s="3">
        <f>Final_std_lv325262728[[#This Row],[Pillar 3]]-Final_std_lv325262728[[#This Row],[Pillar3 Trendline]]</f>
        <v>-0.11108980457952322</v>
      </c>
      <c r="K20" s="3">
        <f>Final_std_lv325262728[[#This Row],[Pillar3 Trendline]]-_xlfn.STDEV.S(Final_std_lv325262728[Residual])</f>
        <v>1.575886381995</v>
      </c>
      <c r="L20">
        <f>Final_std_lv325262728[[#This Row],[Pillar3 Trendline]]-2*_xlfn.STDEV.S(Final_std_lv325262728[Residual])</f>
        <v>1.4593684168869909</v>
      </c>
    </row>
    <row r="21" spans="1:12" x14ac:dyDescent="0.2">
      <c r="A21">
        <v>2020</v>
      </c>
      <c r="B21">
        <v>1</v>
      </c>
      <c r="C21" s="3">
        <f>POWER(Pillar3_quarterly1520[[#This Row],[A. ECONOMIC]]^3*Pillar3_quarterly1520[[#This Row],[B. BIOPHYSICAL &amp; CLIMATE]]^3, 1/6)</f>
        <v>1.5511704795416545</v>
      </c>
      <c r="H21">
        <v>25</v>
      </c>
      <c r="I21">
        <f>_xlfn.FORECAST.LINEAR(Final_std_lv325262728[[#This Row],[TIME]],Final_std_lv325262728[Pillar 3],Final_std_lv325262728[TIME])</f>
        <v>1.6958544511543772</v>
      </c>
      <c r="J21" s="3">
        <f>Final_std_lv325262728[[#This Row],[Pillar 3]]-Final_std_lv325262728[[#This Row],[Pillar3 Trendline]]</f>
        <v>-0.14468397161272262</v>
      </c>
      <c r="K21" s="3">
        <f>Final_std_lv325262728[[#This Row],[Pillar3 Trendline]]-_xlfn.STDEV.S(Final_std_lv325262728[Residual])</f>
        <v>1.5793364860463683</v>
      </c>
      <c r="L21">
        <f>Final_std_lv325262728[[#This Row],[Pillar3 Trendline]]-2*_xlfn.STDEV.S(Final_std_lv325262728[Residual])</f>
        <v>1.4628185209383593</v>
      </c>
    </row>
    <row r="22" spans="1:12" x14ac:dyDescent="0.2">
      <c r="A22">
        <v>2019</v>
      </c>
      <c r="B22">
        <v>4</v>
      </c>
      <c r="C22" s="3">
        <f>POWER(Pillar3_quarterly1520[[#This Row],[A. ECONOMIC]]^3*Pillar3_quarterly1520[[#This Row],[B. BIOPHYSICAL &amp; CLIMATE]]^3, 1/6)</f>
        <v>1.7796021569323806</v>
      </c>
      <c r="H22">
        <v>24</v>
      </c>
      <c r="I22">
        <f>_xlfn.FORECAST.LINEAR(Final_std_lv325262728[[#This Row],[TIME]],Final_std_lv325262728[Pillar 3],Final_std_lv325262728[TIME])</f>
        <v>1.6993045552057453</v>
      </c>
      <c r="J22" s="3">
        <f>Final_std_lv325262728[[#This Row],[Pillar 3]]-Final_std_lv325262728[[#This Row],[Pillar3 Trendline]]</f>
        <v>8.0297601726635248E-2</v>
      </c>
      <c r="K22" s="3">
        <f>Final_std_lv325262728[[#This Row],[Pillar3 Trendline]]-_xlfn.STDEV.S(Final_std_lv325262728[Residual])</f>
        <v>1.5827865900977365</v>
      </c>
      <c r="L22">
        <f>Final_std_lv325262728[[#This Row],[Pillar3 Trendline]]-2*_xlfn.STDEV.S(Final_std_lv325262728[Residual])</f>
        <v>1.4662686249897274</v>
      </c>
    </row>
    <row r="23" spans="1:12" x14ac:dyDescent="0.2">
      <c r="A23">
        <v>2019</v>
      </c>
      <c r="B23">
        <v>3</v>
      </c>
      <c r="C23" s="3">
        <f>POWER(Pillar3_quarterly1520[[#This Row],[A. ECONOMIC]]^3*Pillar3_quarterly1520[[#This Row],[B. BIOPHYSICAL &amp; CLIMATE]]^3, 1/6)</f>
        <v>1.7632580119844705</v>
      </c>
      <c r="D23" t="s">
        <v>38</v>
      </c>
      <c r="E23">
        <v>1</v>
      </c>
      <c r="F23" t="s">
        <v>38</v>
      </c>
      <c r="G23">
        <v>1</v>
      </c>
      <c r="H23">
        <v>23</v>
      </c>
      <c r="I23">
        <f>_xlfn.FORECAST.LINEAR(Final_std_lv325262728[[#This Row],[TIME]],Final_std_lv325262728[Pillar 3],Final_std_lv325262728[TIME])</f>
        <v>1.7027546592571137</v>
      </c>
      <c r="J23" s="3">
        <f>Final_std_lv325262728[[#This Row],[Pillar 3]]-Final_std_lv325262728[[#This Row],[Pillar3 Trendline]]</f>
        <v>6.0503352727356852E-2</v>
      </c>
      <c r="K23" s="3">
        <f>Final_std_lv325262728[[#This Row],[Pillar3 Trendline]]-_xlfn.STDEV.S(Final_std_lv325262728[Residual])</f>
        <v>1.5862366941491048</v>
      </c>
      <c r="L23">
        <f>Final_std_lv325262728[[#This Row],[Pillar3 Trendline]]-2*_xlfn.STDEV.S(Final_std_lv325262728[Residual])</f>
        <v>1.4697187290410958</v>
      </c>
    </row>
    <row r="24" spans="1:12" x14ac:dyDescent="0.2">
      <c r="A24">
        <v>2019</v>
      </c>
      <c r="B24">
        <v>2</v>
      </c>
      <c r="C24" s="3">
        <f>POWER(Pillar3_quarterly1520[[#This Row],[A. ECONOMIC]]^3*Pillar3_quarterly1520[[#This Row],[B. BIOPHYSICAL &amp; CLIMATE]]^3, 1/6)</f>
        <v>1.7289042794966527</v>
      </c>
      <c r="D24" t="s">
        <v>38</v>
      </c>
      <c r="E24">
        <v>2</v>
      </c>
      <c r="H24">
        <v>22</v>
      </c>
      <c r="I24">
        <f>_xlfn.FORECAST.LINEAR(Final_std_lv325262728[[#This Row],[TIME]],Final_std_lv325262728[Pillar 3],Final_std_lv325262728[TIME])</f>
        <v>1.706204763308482</v>
      </c>
      <c r="J24" s="3">
        <f>Final_std_lv325262728[[#This Row],[Pillar 3]]-Final_std_lv325262728[[#This Row],[Pillar3 Trendline]]</f>
        <v>2.2699516188170676E-2</v>
      </c>
      <c r="K24" s="3">
        <f>Final_std_lv325262728[[#This Row],[Pillar3 Trendline]]-_xlfn.STDEV.S(Final_std_lv325262728[Residual])</f>
        <v>1.5896867982004732</v>
      </c>
      <c r="L24">
        <f>Final_std_lv325262728[[#This Row],[Pillar3 Trendline]]-2*_xlfn.STDEV.S(Final_std_lv325262728[Residual])</f>
        <v>1.4731688330924642</v>
      </c>
    </row>
    <row r="25" spans="1:12" x14ac:dyDescent="0.2">
      <c r="A25">
        <v>2019</v>
      </c>
      <c r="B25">
        <v>1</v>
      </c>
      <c r="C25" s="3">
        <f>POWER(Pillar3_quarterly1520[[#This Row],[A. ECONOMIC]]^3*Pillar3_quarterly1520[[#This Row],[B. BIOPHYSICAL &amp; CLIMATE]]^3, 1/6)</f>
        <v>1.5841340925623395</v>
      </c>
      <c r="H25">
        <v>21</v>
      </c>
      <c r="I25">
        <f>_xlfn.FORECAST.LINEAR(Final_std_lv325262728[[#This Row],[TIME]],Final_std_lv325262728[Pillar 3],Final_std_lv325262728[TIME])</f>
        <v>1.7096548673598502</v>
      </c>
      <c r="J25" s="3">
        <f>Final_std_lv325262728[[#This Row],[Pillar 3]]-Final_std_lv325262728[[#This Row],[Pillar3 Trendline]]</f>
        <v>-0.12552077479751067</v>
      </c>
      <c r="K25" s="3">
        <f>Final_std_lv325262728[[#This Row],[Pillar3 Trendline]]-_xlfn.STDEV.S(Final_std_lv325262728[Residual])</f>
        <v>1.5931369022518413</v>
      </c>
      <c r="L25">
        <f>Final_std_lv325262728[[#This Row],[Pillar3 Trendline]]-2*_xlfn.STDEV.S(Final_std_lv325262728[Residual])</f>
        <v>1.4766189371438323</v>
      </c>
    </row>
    <row r="26" spans="1:12" x14ac:dyDescent="0.2">
      <c r="A26">
        <v>2018</v>
      </c>
      <c r="B26">
        <v>4</v>
      </c>
      <c r="C26" s="3">
        <f>POWER(Pillar3_quarterly1520[[#This Row],[A. ECONOMIC]]^3*Pillar3_quarterly1520[[#This Row],[B. BIOPHYSICAL &amp; CLIMATE]]^3, 1/6)</f>
        <v>1.5600340574537854</v>
      </c>
      <c r="H26">
        <v>20</v>
      </c>
      <c r="I26">
        <f>_xlfn.FORECAST.LINEAR(Final_std_lv325262728[[#This Row],[TIME]],Final_std_lv325262728[Pillar 3],Final_std_lv325262728[TIME])</f>
        <v>1.7131049714112185</v>
      </c>
      <c r="J26" s="3">
        <f>Final_std_lv325262728[[#This Row],[Pillar 3]]-Final_std_lv325262728[[#This Row],[Pillar3 Trendline]]</f>
        <v>-0.15307091395743311</v>
      </c>
      <c r="K26" s="3">
        <f>Final_std_lv325262728[[#This Row],[Pillar3 Trendline]]-_xlfn.STDEV.S(Final_std_lv325262728[Residual])</f>
        <v>1.5965870063032097</v>
      </c>
      <c r="L26">
        <f>Final_std_lv325262728[[#This Row],[Pillar3 Trendline]]-2*_xlfn.STDEV.S(Final_std_lv325262728[Residual])</f>
        <v>1.4800690411952007</v>
      </c>
    </row>
    <row r="27" spans="1:12" x14ac:dyDescent="0.2">
      <c r="A27">
        <v>2018</v>
      </c>
      <c r="B27">
        <v>3</v>
      </c>
      <c r="C27" s="3">
        <f>POWER(Pillar3_quarterly1520[[#This Row],[A. ECONOMIC]]^3*Pillar3_quarterly1520[[#This Row],[B. BIOPHYSICAL &amp; CLIMATE]]^3, 1/6)</f>
        <v>1.5610922969912997</v>
      </c>
      <c r="D27" t="s">
        <v>53</v>
      </c>
      <c r="E27">
        <v>2</v>
      </c>
      <c r="H27">
        <v>19</v>
      </c>
      <c r="I27">
        <f>_xlfn.FORECAST.LINEAR(Final_std_lv325262728[[#This Row],[TIME]],Final_std_lv325262728[Pillar 3],Final_std_lv325262728[TIME])</f>
        <v>1.7165550754625869</v>
      </c>
      <c r="J27" s="3">
        <f>Final_std_lv325262728[[#This Row],[Pillar 3]]-Final_std_lv325262728[[#This Row],[Pillar3 Trendline]]</f>
        <v>-0.1554627784712872</v>
      </c>
      <c r="K27" s="3">
        <f>Final_std_lv325262728[[#This Row],[Pillar3 Trendline]]-_xlfn.STDEV.S(Final_std_lv325262728[Residual])</f>
        <v>1.6000371103545781</v>
      </c>
      <c r="L27">
        <f>Final_std_lv325262728[[#This Row],[Pillar3 Trendline]]-2*_xlfn.STDEV.S(Final_std_lv325262728[Residual])</f>
        <v>1.483519145246569</v>
      </c>
    </row>
    <row r="28" spans="1:12" x14ac:dyDescent="0.2">
      <c r="A28">
        <v>2018</v>
      </c>
      <c r="B28">
        <v>2</v>
      </c>
      <c r="C28" s="3">
        <f>POWER(Pillar3_quarterly1520[[#This Row],[A. ECONOMIC]]^3*Pillar3_quarterly1520[[#This Row],[B. BIOPHYSICAL &amp; CLIMATE]]^3, 1/6)</f>
        <v>1.7466372107333383</v>
      </c>
      <c r="H28">
        <v>18</v>
      </c>
      <c r="I28">
        <f>_xlfn.FORECAST.LINEAR(Final_std_lv325262728[[#This Row],[TIME]],Final_std_lv325262728[Pillar 3],Final_std_lv325262728[TIME])</f>
        <v>1.720005179513955</v>
      </c>
      <c r="J28" s="3">
        <f>Final_std_lv325262728[[#This Row],[Pillar 3]]-Final_std_lv325262728[[#This Row],[Pillar3 Trendline]]</f>
        <v>2.663203121938329E-2</v>
      </c>
      <c r="K28" s="3">
        <f>Final_std_lv325262728[[#This Row],[Pillar3 Trendline]]-_xlfn.STDEV.S(Final_std_lv325262728[Residual])</f>
        <v>1.6034872144059462</v>
      </c>
      <c r="L28">
        <f>Final_std_lv325262728[[#This Row],[Pillar3 Trendline]]-2*_xlfn.STDEV.S(Final_std_lv325262728[Residual])</f>
        <v>1.4869692492979372</v>
      </c>
    </row>
    <row r="29" spans="1:12" x14ac:dyDescent="0.2">
      <c r="A29">
        <v>2018</v>
      </c>
      <c r="B29">
        <v>1</v>
      </c>
      <c r="C29" s="3">
        <f>POWER(Pillar3_quarterly1520[[#This Row],[A. ECONOMIC]]^3*Pillar3_quarterly1520[[#This Row],[B. BIOPHYSICAL &amp; CLIMATE]]^3, 1/6)</f>
        <v>1.6619139883191643</v>
      </c>
      <c r="D29" t="s">
        <v>35</v>
      </c>
      <c r="E29">
        <v>2</v>
      </c>
      <c r="H29">
        <v>17</v>
      </c>
      <c r="I29">
        <f>_xlfn.FORECAST.LINEAR(Final_std_lv325262728[[#This Row],[TIME]],Final_std_lv325262728[Pillar 3],Final_std_lv325262728[TIME])</f>
        <v>1.7234552835653234</v>
      </c>
      <c r="J29" s="3">
        <f>Final_std_lv325262728[[#This Row],[Pillar 3]]-Final_std_lv325262728[[#This Row],[Pillar3 Trendline]]</f>
        <v>-6.1541295246159144E-2</v>
      </c>
      <c r="K29" s="3">
        <f>Final_std_lv325262728[[#This Row],[Pillar3 Trendline]]-_xlfn.STDEV.S(Final_std_lv325262728[Residual])</f>
        <v>1.6069373184573146</v>
      </c>
      <c r="L29">
        <f>Final_std_lv325262728[[#This Row],[Pillar3 Trendline]]-2*_xlfn.STDEV.S(Final_std_lv325262728[Residual])</f>
        <v>1.4904193533493055</v>
      </c>
    </row>
    <row r="30" spans="1:12" x14ac:dyDescent="0.2">
      <c r="A30">
        <v>2017</v>
      </c>
      <c r="B30">
        <v>4</v>
      </c>
      <c r="C30" s="3">
        <f>POWER(Pillar3_quarterly1520[[#This Row],[A. ECONOMIC]]^3*Pillar3_quarterly1520[[#This Row],[B. BIOPHYSICAL &amp; CLIMATE]]^3, 1/6)</f>
        <v>1.5811285990547137</v>
      </c>
      <c r="H30">
        <v>16</v>
      </c>
      <c r="I30">
        <f>_xlfn.FORECAST.LINEAR(Final_std_lv325262728[[#This Row],[TIME]],Final_std_lv325262728[Pillar 3],Final_std_lv325262728[TIME])</f>
        <v>1.7269053876166918</v>
      </c>
      <c r="J30" s="3">
        <f>Final_std_lv325262728[[#This Row],[Pillar 3]]-Final_std_lv325262728[[#This Row],[Pillar3 Trendline]]</f>
        <v>-0.14577678856197807</v>
      </c>
      <c r="K30" s="3">
        <f>Final_std_lv325262728[[#This Row],[Pillar3 Trendline]]-_xlfn.STDEV.S(Final_std_lv325262728[Residual])</f>
        <v>1.6103874225086829</v>
      </c>
      <c r="L30">
        <f>Final_std_lv325262728[[#This Row],[Pillar3 Trendline]]-2*_xlfn.STDEV.S(Final_std_lv325262728[Residual])</f>
        <v>1.4938694574006739</v>
      </c>
    </row>
    <row r="31" spans="1:12" x14ac:dyDescent="0.2">
      <c r="A31">
        <v>2017</v>
      </c>
      <c r="B31">
        <v>3</v>
      </c>
      <c r="C31" s="3">
        <f>POWER(Pillar3_quarterly1520[[#This Row],[A. ECONOMIC]]^3*Pillar3_quarterly1520[[#This Row],[B. BIOPHYSICAL &amp; CLIMATE]]^3, 1/6)</f>
        <v>1.6061780685658575</v>
      </c>
      <c r="H31">
        <v>15</v>
      </c>
      <c r="I31">
        <f>_xlfn.FORECAST.LINEAR(Final_std_lv325262728[[#This Row],[TIME]],Final_std_lv325262728[Pillar 3],Final_std_lv325262728[TIME])</f>
        <v>1.7303554916680599</v>
      </c>
      <c r="J31" s="3">
        <f>Final_std_lv325262728[[#This Row],[Pillar 3]]-Final_std_lv325262728[[#This Row],[Pillar3 Trendline]]</f>
        <v>-0.12417742310220237</v>
      </c>
      <c r="K31" s="3">
        <f>Final_std_lv325262728[[#This Row],[Pillar3 Trendline]]-_xlfn.STDEV.S(Final_std_lv325262728[Residual])</f>
        <v>1.6138375265600511</v>
      </c>
      <c r="L31">
        <f>Final_std_lv325262728[[#This Row],[Pillar3 Trendline]]-2*_xlfn.STDEV.S(Final_std_lv325262728[Residual])</f>
        <v>1.497319561452042</v>
      </c>
    </row>
    <row r="32" spans="1:12" x14ac:dyDescent="0.2">
      <c r="A32">
        <v>2017</v>
      </c>
      <c r="B32">
        <v>2</v>
      </c>
      <c r="C32" s="3">
        <f>POWER(Pillar3_quarterly1520[[#This Row],[A. ECONOMIC]]^3*Pillar3_quarterly1520[[#This Row],[B. BIOPHYSICAL &amp; CLIMATE]]^3, 1/6)</f>
        <v>1.6206596857232618</v>
      </c>
      <c r="H32">
        <v>14</v>
      </c>
      <c r="I32">
        <f>_xlfn.FORECAST.LINEAR(Final_std_lv325262728[[#This Row],[TIME]],Final_std_lv325262728[Pillar 3],Final_std_lv325262728[TIME])</f>
        <v>1.7338055957194283</v>
      </c>
      <c r="J32" s="3">
        <f>Final_std_lv325262728[[#This Row],[Pillar 3]]-Final_std_lv325262728[[#This Row],[Pillar3 Trendline]]</f>
        <v>-0.11314590999616647</v>
      </c>
      <c r="K32" s="3">
        <f>Final_std_lv325262728[[#This Row],[Pillar3 Trendline]]-_xlfn.STDEV.S(Final_std_lv325262728[Residual])</f>
        <v>1.6172876306114194</v>
      </c>
      <c r="L32">
        <f>Final_std_lv325262728[[#This Row],[Pillar3 Trendline]]-2*_xlfn.STDEV.S(Final_std_lv325262728[Residual])</f>
        <v>1.5007696655034104</v>
      </c>
    </row>
    <row r="33" spans="1:12" x14ac:dyDescent="0.2">
      <c r="A33">
        <v>2017</v>
      </c>
      <c r="B33">
        <v>1</v>
      </c>
      <c r="C33" s="3">
        <f>POWER(Pillar3_quarterly1520[[#This Row],[A. ECONOMIC]]^3*Pillar3_quarterly1520[[#This Row],[B. BIOPHYSICAL &amp; CLIMATE]]^3, 1/6)</f>
        <v>1.6569016100706577</v>
      </c>
      <c r="H33">
        <v>13</v>
      </c>
      <c r="I33">
        <f>_xlfn.FORECAST.LINEAR(Final_std_lv325262728[[#This Row],[TIME]],Final_std_lv325262728[Pillar 3],Final_std_lv325262728[TIME])</f>
        <v>1.7372556997707966</v>
      </c>
      <c r="J33" s="3">
        <f>Final_std_lv325262728[[#This Row],[Pillar 3]]-Final_std_lv325262728[[#This Row],[Pillar3 Trendline]]</f>
        <v>-8.0354089700138909E-2</v>
      </c>
      <c r="K33" s="3">
        <f>Final_std_lv325262728[[#This Row],[Pillar3 Trendline]]-_xlfn.STDEV.S(Final_std_lv325262728[Residual])</f>
        <v>1.6207377346627878</v>
      </c>
      <c r="L33">
        <f>Final_std_lv325262728[[#This Row],[Pillar3 Trendline]]-2*_xlfn.STDEV.S(Final_std_lv325262728[Residual])</f>
        <v>1.5042197695547788</v>
      </c>
    </row>
    <row r="34" spans="1:12" x14ac:dyDescent="0.2">
      <c r="A34">
        <v>2016</v>
      </c>
      <c r="B34">
        <v>4</v>
      </c>
      <c r="C34" s="3">
        <f>POWER(Pillar3_quarterly1520[[#This Row],[A. ECONOMIC]]^3*Pillar3_quarterly1520[[#This Row],[B. BIOPHYSICAL &amp; CLIMATE]]^3, 1/6)</f>
        <v>1.9042397667845605</v>
      </c>
      <c r="D34" t="s">
        <v>38</v>
      </c>
      <c r="E34">
        <v>1</v>
      </c>
      <c r="H34">
        <v>12</v>
      </c>
      <c r="I34">
        <f>_xlfn.FORECAST.LINEAR(Final_std_lv325262728[[#This Row],[TIME]],Final_std_lv325262728[Pillar 3],Final_std_lv325262728[TIME])</f>
        <v>1.740705803822165</v>
      </c>
      <c r="J34" s="3">
        <f>Final_std_lv325262728[[#This Row],[Pillar 3]]-Final_std_lv325262728[[#This Row],[Pillar3 Trendline]]</f>
        <v>0.16353396296239553</v>
      </c>
      <c r="K34" s="3">
        <f>Final_std_lv325262728[[#This Row],[Pillar3 Trendline]]-_xlfn.STDEV.S(Final_std_lv325262728[Residual])</f>
        <v>1.6241878387141562</v>
      </c>
      <c r="L34">
        <f>Final_std_lv325262728[[#This Row],[Pillar3 Trendline]]-2*_xlfn.STDEV.S(Final_std_lv325262728[Residual])</f>
        <v>1.5076698736061471</v>
      </c>
    </row>
    <row r="35" spans="1:12" x14ac:dyDescent="0.2">
      <c r="A35">
        <v>2016</v>
      </c>
      <c r="B35">
        <v>3</v>
      </c>
      <c r="C35" s="3">
        <f>POWER(Pillar3_quarterly1520[[#This Row],[A. ECONOMIC]]^3*Pillar3_quarterly1520[[#This Row],[B. BIOPHYSICAL &amp; CLIMATE]]^3, 1/6)</f>
        <v>1.5377942740389161</v>
      </c>
      <c r="H35">
        <v>11</v>
      </c>
      <c r="I35">
        <f>_xlfn.FORECAST.LINEAR(Final_std_lv325262728[[#This Row],[TIME]],Final_std_lv325262728[Pillar 3],Final_std_lv325262728[TIME])</f>
        <v>1.7441559078735331</v>
      </c>
      <c r="J35" s="3">
        <f>Final_std_lv325262728[[#This Row],[Pillar 3]]-Final_std_lv325262728[[#This Row],[Pillar3 Trendline]]</f>
        <v>-0.20636163383461703</v>
      </c>
      <c r="K35" s="3">
        <f>Final_std_lv325262728[[#This Row],[Pillar3 Trendline]]-_xlfn.STDEV.S(Final_std_lv325262728[Residual])</f>
        <v>1.6276379427655243</v>
      </c>
      <c r="L35">
        <f>Final_std_lv325262728[[#This Row],[Pillar3 Trendline]]-2*_xlfn.STDEV.S(Final_std_lv325262728[Residual])</f>
        <v>1.5111199776575153</v>
      </c>
    </row>
    <row r="36" spans="1:12" x14ac:dyDescent="0.2">
      <c r="A36">
        <v>2016</v>
      </c>
      <c r="B36">
        <v>2</v>
      </c>
      <c r="C36" s="3">
        <f>POWER(Pillar3_quarterly1520[[#This Row],[A. ECONOMIC]]^3*Pillar3_quarterly1520[[#This Row],[B. BIOPHYSICAL &amp; CLIMATE]]^3, 1/6)</f>
        <v>1.8908592836977332</v>
      </c>
      <c r="D36" t="s">
        <v>38</v>
      </c>
      <c r="E36">
        <v>2</v>
      </c>
      <c r="H36">
        <v>10</v>
      </c>
      <c r="I36">
        <f>_xlfn.FORECAST.LINEAR(Final_std_lv325262728[[#This Row],[TIME]],Final_std_lv325262728[Pillar 3],Final_std_lv325262728[TIME])</f>
        <v>1.7476060119249015</v>
      </c>
      <c r="J36" s="3">
        <f>Final_std_lv325262728[[#This Row],[Pillar 3]]-Final_std_lv325262728[[#This Row],[Pillar3 Trendline]]</f>
        <v>0.14325327177283165</v>
      </c>
      <c r="K36" s="3">
        <f>Final_std_lv325262728[[#This Row],[Pillar3 Trendline]]-_xlfn.STDEV.S(Final_std_lv325262728[Residual])</f>
        <v>1.6310880468168927</v>
      </c>
      <c r="L36">
        <f>Final_std_lv325262728[[#This Row],[Pillar3 Trendline]]-2*_xlfn.STDEV.S(Final_std_lv325262728[Residual])</f>
        <v>1.5145700817088836</v>
      </c>
    </row>
    <row r="37" spans="1:12" x14ac:dyDescent="0.2">
      <c r="A37">
        <v>2016</v>
      </c>
      <c r="B37">
        <v>1</v>
      </c>
      <c r="C37" s="3">
        <f>POWER(Pillar3_quarterly1520[[#This Row],[A. ECONOMIC]]^3*Pillar3_quarterly1520[[#This Row],[B. BIOPHYSICAL &amp; CLIMATE]]^3, 1/6)</f>
        <v>1.7847536120685417</v>
      </c>
      <c r="D37" t="s">
        <v>38</v>
      </c>
      <c r="E37">
        <v>2</v>
      </c>
      <c r="H37">
        <v>9</v>
      </c>
      <c r="I37">
        <f>_xlfn.FORECAST.LINEAR(Final_std_lv325262728[[#This Row],[TIME]],Final_std_lv325262728[Pillar 3],Final_std_lv325262728[TIME])</f>
        <v>1.7510561159762699</v>
      </c>
      <c r="J37" s="3">
        <f>Final_std_lv325262728[[#This Row],[Pillar 3]]-Final_std_lv325262728[[#This Row],[Pillar3 Trendline]]</f>
        <v>3.3697496092271795E-2</v>
      </c>
      <c r="K37" s="3">
        <f>Final_std_lv325262728[[#This Row],[Pillar3 Trendline]]-_xlfn.STDEV.S(Final_std_lv325262728[Residual])</f>
        <v>1.634538150868261</v>
      </c>
      <c r="L37">
        <f>Final_std_lv325262728[[#This Row],[Pillar3 Trendline]]-2*_xlfn.STDEV.S(Final_std_lv325262728[Residual])</f>
        <v>1.518020185760252</v>
      </c>
    </row>
    <row r="38" spans="1:12" x14ac:dyDescent="0.2">
      <c r="A38">
        <v>2015</v>
      </c>
      <c r="B38">
        <v>4</v>
      </c>
      <c r="C38" s="3">
        <f>POWER(Pillar3_quarterly1520[[#This Row],[A. ECONOMIC]]^3*Pillar3_quarterly1520[[#This Row],[B. BIOPHYSICAL &amp; CLIMATE]]^3, 1/6)</f>
        <v>1.9298569312297231</v>
      </c>
      <c r="D38" t="s">
        <v>38</v>
      </c>
      <c r="E38">
        <v>2</v>
      </c>
      <c r="H38">
        <v>8</v>
      </c>
      <c r="I38">
        <f>_xlfn.FORECAST.LINEAR(Final_std_lv325262728[[#This Row],[TIME]],Final_std_lv325262728[Pillar 3],Final_std_lv325262728[TIME])</f>
        <v>1.754506220027638</v>
      </c>
      <c r="J38" s="3">
        <f>Final_std_lv325262728[[#This Row],[Pillar 3]]-Final_std_lv325262728[[#This Row],[Pillar3 Trendline]]</f>
        <v>0.17535071120208512</v>
      </c>
      <c r="K38" s="3">
        <f>Final_std_lv325262728[[#This Row],[Pillar3 Trendline]]-_xlfn.STDEV.S(Final_std_lv325262728[Residual])</f>
        <v>1.6379882549196292</v>
      </c>
      <c r="L38">
        <f>Final_std_lv325262728[[#This Row],[Pillar3 Trendline]]-2*_xlfn.STDEV.S(Final_std_lv325262728[Residual])</f>
        <v>1.5214702898116201</v>
      </c>
    </row>
    <row r="39" spans="1:12" x14ac:dyDescent="0.2">
      <c r="A39">
        <v>2015</v>
      </c>
      <c r="B39">
        <v>3</v>
      </c>
      <c r="C39" s="3">
        <f>POWER(Pillar3_quarterly1520[[#This Row],[A. ECONOMIC]]^3*Pillar3_quarterly1520[[#This Row],[B. BIOPHYSICAL &amp; CLIMATE]]^3, 1/6)</f>
        <v>1.9077339118580452</v>
      </c>
      <c r="H39">
        <v>7</v>
      </c>
      <c r="I39">
        <f>_xlfn.FORECAST.LINEAR(Final_std_lv325262728[[#This Row],[TIME]],Final_std_lv325262728[Pillar 3],Final_std_lv325262728[TIME])</f>
        <v>1.7579563240790064</v>
      </c>
      <c r="J39" s="3">
        <f>Final_std_lv325262728[[#This Row],[Pillar 3]]-Final_std_lv325262728[[#This Row],[Pillar3 Trendline]]</f>
        <v>0.14977758777903882</v>
      </c>
      <c r="K39" s="3">
        <f>Final_std_lv325262728[[#This Row],[Pillar3 Trendline]]-_xlfn.STDEV.S(Final_std_lv325262728[Residual])</f>
        <v>1.6414383589709975</v>
      </c>
      <c r="L39">
        <f>Final_std_lv325262728[[#This Row],[Pillar3 Trendline]]-2*_xlfn.STDEV.S(Final_std_lv325262728[Residual])</f>
        <v>1.5249203938629885</v>
      </c>
    </row>
    <row r="40" spans="1:12" x14ac:dyDescent="0.2">
      <c r="A40">
        <v>2015</v>
      </c>
      <c r="B40">
        <v>2</v>
      </c>
      <c r="C40" s="3">
        <f>POWER(Pillar3_quarterly1520[[#This Row],[A. ECONOMIC]]^3*Pillar3_quarterly1520[[#This Row],[B. BIOPHYSICAL &amp; CLIMATE]]^3, 1/6)</f>
        <v>1.8372369497501106</v>
      </c>
      <c r="D40" t="s">
        <v>35</v>
      </c>
      <c r="E40">
        <v>2</v>
      </c>
      <c r="H40">
        <v>6</v>
      </c>
      <c r="I40">
        <f>_xlfn.FORECAST.LINEAR(Final_std_lv325262728[[#This Row],[TIME]],Final_std_lv325262728[Pillar 3],Final_std_lv325262728[TIME])</f>
        <v>1.7614064281303747</v>
      </c>
      <c r="J40" s="3">
        <f>Final_std_lv325262728[[#This Row],[Pillar 3]]-Final_std_lv325262728[[#This Row],[Pillar3 Trendline]]</f>
        <v>7.5830521619735913E-2</v>
      </c>
      <c r="K40" s="3">
        <f>Final_std_lv325262728[[#This Row],[Pillar3 Trendline]]-_xlfn.STDEV.S(Final_std_lv325262728[Residual])</f>
        <v>1.6448884630223659</v>
      </c>
      <c r="L40">
        <f>Final_std_lv325262728[[#This Row],[Pillar3 Trendline]]-2*_xlfn.STDEV.S(Final_std_lv325262728[Residual])</f>
        <v>1.5283704979143569</v>
      </c>
    </row>
    <row r="41" spans="1:12" x14ac:dyDescent="0.2">
      <c r="A41">
        <v>2015</v>
      </c>
      <c r="B41">
        <v>1</v>
      </c>
      <c r="C41" s="3">
        <f>POWER(Pillar3_quarterly1520[[#This Row],[A. ECONOMIC]]^3*Pillar3_quarterly1520[[#This Row],[B. BIOPHYSICAL &amp; CLIMATE]]^3, 1/6)</f>
        <v>1.8547423342965337</v>
      </c>
      <c r="H41">
        <v>5</v>
      </c>
      <c r="I41">
        <f>_xlfn.FORECAST.LINEAR(Final_std_lv325262728[[#This Row],[TIME]],Final_std_lv325262728[Pillar 3],Final_std_lv325262728[TIME])</f>
        <v>1.7648565321817431</v>
      </c>
      <c r="J41" s="3">
        <f>Final_std_lv325262728[[#This Row],[Pillar 3]]-Final_std_lv325262728[[#This Row],[Pillar3 Trendline]]</f>
        <v>8.9885802114790581E-2</v>
      </c>
      <c r="K41" s="3">
        <f>Final_std_lv325262728[[#This Row],[Pillar3 Trendline]]-_xlfn.STDEV.S(Final_std_lv325262728[Residual])</f>
        <v>1.6483385670737343</v>
      </c>
      <c r="L41">
        <f>Final_std_lv325262728[[#This Row],[Pillar3 Trendline]]-2*_xlfn.STDEV.S(Final_std_lv325262728[Residual])</f>
        <v>1.5318206019657252</v>
      </c>
    </row>
    <row r="42" spans="1:12" x14ac:dyDescent="0.2">
      <c r="A42">
        <v>2014</v>
      </c>
      <c r="B42">
        <v>4</v>
      </c>
      <c r="C42" s="3">
        <f>POWER(Pillar3_quarterly1520[[#This Row],[A. ECONOMIC]]^3*Pillar3_quarterly1520[[#This Row],[B. BIOPHYSICAL &amp; CLIMATE]]^3, 1/6)</f>
        <v>1.8423363149139063</v>
      </c>
      <c r="D42" t="s">
        <v>38</v>
      </c>
      <c r="E42">
        <v>1</v>
      </c>
      <c r="H42">
        <v>4</v>
      </c>
      <c r="I42">
        <f>_xlfn.FORECAST.LINEAR(Final_std_lv325262728[[#This Row],[TIME]],Final_std_lv325262728[Pillar 3],Final_std_lv325262728[TIME])</f>
        <v>1.7683066362331112</v>
      </c>
      <c r="J42" s="3">
        <f>Final_std_lv325262728[[#This Row],[Pillar 3]]-Final_std_lv325262728[[#This Row],[Pillar3 Trendline]]</f>
        <v>7.4029678680795019E-2</v>
      </c>
      <c r="K42" s="3">
        <f>Final_std_lv325262728[[#This Row],[Pillar3 Trendline]]-_xlfn.STDEV.S(Final_std_lv325262728[Residual])</f>
        <v>1.6517886711251024</v>
      </c>
      <c r="L42">
        <f>Final_std_lv325262728[[#This Row],[Pillar3 Trendline]]-2*_xlfn.STDEV.S(Final_std_lv325262728[Residual])</f>
        <v>1.5352707060170934</v>
      </c>
    </row>
    <row r="43" spans="1:12" x14ac:dyDescent="0.2">
      <c r="A43">
        <v>2014</v>
      </c>
      <c r="B43">
        <v>3</v>
      </c>
      <c r="C43" s="3">
        <f>POWER(Pillar3_quarterly1520[[#This Row],[A. ECONOMIC]]^3*Pillar3_quarterly1520[[#This Row],[B. BIOPHYSICAL &amp; CLIMATE]]^3, 1/6)</f>
        <v>1.8579556067984331</v>
      </c>
      <c r="H43">
        <v>3</v>
      </c>
      <c r="I43">
        <f>_xlfn.FORECAST.LINEAR(Final_std_lv325262728[[#This Row],[TIME]],Final_std_lv325262728[Pillar 3],Final_std_lv325262728[TIME])</f>
        <v>1.7717567402844796</v>
      </c>
      <c r="J43" s="3">
        <f>Final_std_lv325262728[[#This Row],[Pillar 3]]-Final_std_lv325262728[[#This Row],[Pillar3 Trendline]]</f>
        <v>8.6198866513953476E-2</v>
      </c>
      <c r="K43" s="3">
        <f>Final_std_lv325262728[[#This Row],[Pillar3 Trendline]]-_xlfn.STDEV.S(Final_std_lv325262728[Residual])</f>
        <v>1.6552387751764708</v>
      </c>
      <c r="L43">
        <f>Final_std_lv325262728[[#This Row],[Pillar3 Trendline]]-2*_xlfn.STDEV.S(Final_std_lv325262728[Residual])</f>
        <v>1.5387208100684617</v>
      </c>
    </row>
    <row r="44" spans="1:12" x14ac:dyDescent="0.2">
      <c r="A44">
        <v>2014</v>
      </c>
      <c r="B44">
        <v>2</v>
      </c>
      <c r="C44" s="3">
        <f>POWER(Pillar3_quarterly1520[[#This Row],[A. ECONOMIC]]^3*Pillar3_quarterly1520[[#This Row],[B. BIOPHYSICAL &amp; CLIMATE]]^3, 1/6)</f>
        <v>1.8592865929208369</v>
      </c>
      <c r="H44">
        <v>2</v>
      </c>
      <c r="I44">
        <f>_xlfn.FORECAST.LINEAR(Final_std_lv325262728[[#This Row],[TIME]],Final_std_lv325262728[Pillar 3],Final_std_lv325262728[TIME])</f>
        <v>1.775206844335848</v>
      </c>
      <c r="J44" s="3">
        <f>Final_std_lv325262728[[#This Row],[Pillar 3]]-Final_std_lv325262728[[#This Row],[Pillar3 Trendline]]</f>
        <v>8.40797485849889E-2</v>
      </c>
      <c r="K44" s="3">
        <f>Final_std_lv325262728[[#This Row],[Pillar3 Trendline]]-_xlfn.STDEV.S(Final_std_lv325262728[Residual])</f>
        <v>1.6586888792278391</v>
      </c>
      <c r="L44">
        <f>Final_std_lv325262728[[#This Row],[Pillar3 Trendline]]-2*_xlfn.STDEV.S(Final_std_lv325262728[Residual])</f>
        <v>1.5421709141198301</v>
      </c>
    </row>
    <row r="45" spans="1:12" x14ac:dyDescent="0.2">
      <c r="A45">
        <v>2014</v>
      </c>
      <c r="B45">
        <v>1</v>
      </c>
      <c r="C45" s="3">
        <f>POWER(Pillar3_quarterly1520[[#This Row],[A. ECONOMIC]]^3*Pillar3_quarterly1520[[#This Row],[B. BIOPHYSICAL &amp; CLIMATE]]^3, 1/6)</f>
        <v>1.6501708441230507</v>
      </c>
      <c r="H45">
        <v>1</v>
      </c>
      <c r="I45">
        <f>_xlfn.FORECAST.LINEAR(Final_std_lv325262728[[#This Row],[TIME]],Final_std_lv325262728[Pillar 3],Final_std_lv325262728[TIME])</f>
        <v>1.7786569483872161</v>
      </c>
      <c r="J45" s="3">
        <f>Final_std_lv325262728[[#This Row],[Pillar 3]]-Final_std_lv325262728[[#This Row],[Pillar3 Trendline]]</f>
        <v>-0.1284861042641654</v>
      </c>
      <c r="K45" s="3">
        <f>Final_std_lv325262728[[#This Row],[Pillar3 Trendline]]-_xlfn.STDEV.S(Final_std_lv325262728[Residual])</f>
        <v>1.6621389832792073</v>
      </c>
      <c r="L45">
        <f>Final_std_lv325262728[[#This Row],[Pillar3 Trendline]]-2*_xlfn.STDEV.S(Final_std_lv325262728[Residual])</f>
        <v>1.5456210181711982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B7E3-9CCD-744B-AFD7-59AF796014E3}">
  <dimension ref="A1:J60"/>
  <sheetViews>
    <sheetView workbookViewId="0">
      <selection activeCell="G1" sqref="G1:J45"/>
    </sheetView>
  </sheetViews>
  <sheetFormatPr baseColWidth="10" defaultRowHeight="16" x14ac:dyDescent="0.2"/>
  <cols>
    <col min="1" max="1" width="7.33203125" bestFit="1" customWidth="1"/>
    <col min="2" max="2" width="10" bestFit="1" customWidth="1"/>
    <col min="3" max="3" width="27.5" customWidth="1"/>
    <col min="4" max="4" width="37.1640625" customWidth="1"/>
    <col min="5" max="6" width="35.5" customWidth="1"/>
  </cols>
  <sheetData>
    <row r="1" spans="1:10" x14ac:dyDescent="0.2">
      <c r="A1" t="s">
        <v>0</v>
      </c>
      <c r="B1" t="s">
        <v>1</v>
      </c>
      <c r="C1" t="s">
        <v>121</v>
      </c>
      <c r="D1" t="s">
        <v>122</v>
      </c>
      <c r="E1" t="s">
        <v>123</v>
      </c>
      <c r="F1" t="s">
        <v>125</v>
      </c>
      <c r="G1" t="s">
        <v>31</v>
      </c>
      <c r="H1" t="s">
        <v>119</v>
      </c>
      <c r="I1" t="s">
        <v>95</v>
      </c>
      <c r="J1" t="s">
        <v>120</v>
      </c>
    </row>
    <row r="2" spans="1:10" x14ac:dyDescent="0.2">
      <c r="A2">
        <v>2024</v>
      </c>
      <c r="B2">
        <v>4</v>
      </c>
      <c r="C2" s="3">
        <f>POWER(Pillar1_quarterly1018[[#This Row],[A. ASSET]]^10*Pillar1_quarterly1018[[#This Row],[B. ADAPTIVE CAPACITY]],1/10)</f>
        <v>1.7864209674137739</v>
      </c>
      <c r="D2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E2" s="3">
        <f>POWER(Pillar3_quarterly1520[[#This Row],[A. ECONOMIC]]^3*Pillar3_quarterly1520[[#This Row],[B. BIOPHYSICAL &amp; CLIMATE]]^3, 1/6)</f>
        <v>1.7629727254023047</v>
      </c>
      <c r="F2" s="3">
        <f>POWER(Final_std_lv3[[#This Row],[Pillar 1: Resilience Capacities]]^10*Final_std_lv3[[#This Row],[Pillar 2: System Structure &amp; Connectivity]]^7*Final_std_lv3[[#This Row],[Pillar 3: Exposure to Shocks &amp; Stressors]]^6, 1/23)</f>
        <v>1.7296928332948729</v>
      </c>
    </row>
    <row r="3" spans="1:10" x14ac:dyDescent="0.2">
      <c r="A3">
        <v>2024</v>
      </c>
      <c r="B3">
        <v>3</v>
      </c>
      <c r="C3" s="3">
        <f>POWER(Pillar1_quarterly1018[[#This Row],[A. ASSET]]^10*Pillar1_quarterly1018[[#This Row],[B. ADAPTIVE CAPACITY]],1/10)</f>
        <v>1.7864209674137739</v>
      </c>
      <c r="D3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E3" s="3">
        <f>POWER(Pillar3_quarterly1520[[#This Row],[A. ECONOMIC]]^3*Pillar3_quarterly1520[[#This Row],[B. BIOPHYSICAL &amp; CLIMATE]]^3, 1/6)</f>
        <v>1.49091937311651</v>
      </c>
      <c r="F3" s="3">
        <f>POWER(Final_std_lv3[[#This Row],[Pillar 1: Resilience Capacities]]^10*Final_std_lv3[[#This Row],[Pillar 2: System Structure &amp; Connectivity]]^7*Final_std_lv3[[#This Row],[Pillar 3: Exposure to Shocks &amp; Stressors]]^6, 1/23)</f>
        <v>1.6556933934941738</v>
      </c>
      <c r="G3" t="s">
        <v>38</v>
      </c>
      <c r="H3">
        <v>2</v>
      </c>
    </row>
    <row r="4" spans="1:10" x14ac:dyDescent="0.2">
      <c r="A4">
        <v>2024</v>
      </c>
      <c r="B4">
        <v>2</v>
      </c>
      <c r="C4" s="3">
        <f>POWER(Pillar1_quarterly1018[[#This Row],[A. ASSET]]^10*Pillar1_quarterly1018[[#This Row],[B. ADAPTIVE CAPACITY]],1/10)</f>
        <v>1.7864209674137739</v>
      </c>
      <c r="D4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E4" s="3">
        <f>POWER(Pillar3_quarterly1520[[#This Row],[A. ECONOMIC]]^3*Pillar3_quarterly1520[[#This Row],[B. BIOPHYSICAL &amp; CLIMATE]]^3, 1/6)</f>
        <v>1.6530763400113659</v>
      </c>
      <c r="F4" s="3">
        <f>POWER(Final_std_lv3[[#This Row],[Pillar 1: Resilience Capacities]]^10*Final_std_lv3[[#This Row],[Pillar 2: System Structure &amp; Connectivity]]^7*Final_std_lv3[[#This Row],[Pillar 3: Exposure to Shocks &amp; Stressors]]^6, 1/23)</f>
        <v>1.700892952181527</v>
      </c>
      <c r="G4" t="s">
        <v>38</v>
      </c>
      <c r="H4">
        <v>2</v>
      </c>
    </row>
    <row r="5" spans="1:10" x14ac:dyDescent="0.2">
      <c r="A5">
        <v>2024</v>
      </c>
      <c r="B5">
        <v>1</v>
      </c>
      <c r="C5" s="3">
        <f>POWER(Pillar1_quarterly1018[[#This Row],[A. ASSET]]^10*Pillar1_quarterly1018[[#This Row],[B. ADAPTIVE CAPACITY]],1/10)</f>
        <v>1.7864209674137739</v>
      </c>
      <c r="D5" s="3">
        <f>POWER(Pillar2_quarterly1419[[#This Row],[A. SUPPLY &amp; DIVERSIFICATION]]^3*Pillar2_quarterly1419[[#This Row],[B. SUPPLY CHAIN]]^2*Pillar2_quarterly1419[[#This Row],[C. TRADE &amp; MARKET DEPENDENCY]]^2, 1/7)</f>
        <v>1.6250007938958433</v>
      </c>
      <c r="E5" s="3">
        <f>POWER(Pillar3_quarterly1520[[#This Row],[A. ECONOMIC]]^3*Pillar3_quarterly1520[[#This Row],[B. BIOPHYSICAL &amp; CLIMATE]]^3, 1/6)</f>
        <v>1.7167077085412976</v>
      </c>
      <c r="F5" s="3">
        <f>POWER(Final_std_lv3[[#This Row],[Pillar 1: Resilience Capacities]]^10*Final_std_lv3[[#This Row],[Pillar 2: System Structure &amp; Connectivity]]^7*Final_std_lv3[[#This Row],[Pillar 3: Exposure to Shocks &amp; Stressors]]^6, 1/23)</f>
        <v>1.717734908946686</v>
      </c>
    </row>
    <row r="6" spans="1:10" x14ac:dyDescent="0.2">
      <c r="A6">
        <v>2023</v>
      </c>
      <c r="B6">
        <v>4</v>
      </c>
      <c r="C6" s="3">
        <f>POWER(Pillar1_quarterly1018[[#This Row],[A. ASSET]]^10*Pillar1_quarterly1018[[#This Row],[B. ADAPTIVE CAPACITY]],1/10)</f>
        <v>1.7412788557569503</v>
      </c>
      <c r="D6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E6" s="3">
        <f>POWER(Pillar3_quarterly1520[[#This Row],[A. ECONOMIC]]^3*Pillar3_quarterly1520[[#This Row],[B. BIOPHYSICAL &amp; CLIMATE]]^3, 1/6)</f>
        <v>1.8139763515755498</v>
      </c>
      <c r="F6" s="3">
        <f>POWER(Final_std_lv3[[#This Row],[Pillar 1: Resilience Capacities]]^10*Final_std_lv3[[#This Row],[Pillar 2: System Structure &amp; Connectivity]]^7*Final_std_lv3[[#This Row],[Pillar 3: Exposure to Shocks &amp; Stressors]]^6, 1/23)</f>
        <v>1.7219469565012528</v>
      </c>
    </row>
    <row r="7" spans="1:10" x14ac:dyDescent="0.2">
      <c r="A7">
        <v>2023</v>
      </c>
      <c r="B7">
        <v>3</v>
      </c>
      <c r="C7" s="3">
        <f>POWER(Pillar1_quarterly1018[[#This Row],[A. ASSET]]^10*Pillar1_quarterly1018[[#This Row],[B. ADAPTIVE CAPACITY]],1/10)</f>
        <v>1.7412788557569503</v>
      </c>
      <c r="D7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E7" s="3">
        <f>POWER(Pillar3_quarterly1520[[#This Row],[A. ECONOMIC]]^3*Pillar3_quarterly1520[[#This Row],[B. BIOPHYSICAL &amp; CLIMATE]]^3, 1/6)</f>
        <v>1.8171886999978974</v>
      </c>
      <c r="F7" s="3">
        <f>POWER(Final_std_lv3[[#This Row],[Pillar 1: Resilience Capacities]]^10*Final_std_lv3[[#This Row],[Pillar 2: System Structure &amp; Connectivity]]^7*Final_std_lv3[[#This Row],[Pillar 3: Exposure to Shocks &amp; Stressors]]^6, 1/23)</f>
        <v>1.7227419254721235</v>
      </c>
    </row>
    <row r="8" spans="1:10" x14ac:dyDescent="0.2">
      <c r="A8">
        <v>2023</v>
      </c>
      <c r="B8">
        <v>2</v>
      </c>
      <c r="C8" s="3">
        <f>POWER(Pillar1_quarterly1018[[#This Row],[A. ASSET]]^10*Pillar1_quarterly1018[[#This Row],[B. ADAPTIVE CAPACITY]],1/10)</f>
        <v>1.7412788557569503</v>
      </c>
      <c r="D8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E8" s="3">
        <f>POWER(Pillar3_quarterly1520[[#This Row],[A. ECONOMIC]]^3*Pillar3_quarterly1520[[#This Row],[B. BIOPHYSICAL &amp; CLIMATE]]^3, 1/6)</f>
        <v>1.7701631287245116</v>
      </c>
      <c r="F8" s="3">
        <f>POWER(Final_std_lv3[[#This Row],[Pillar 1: Resilience Capacities]]^10*Final_std_lv3[[#This Row],[Pillar 2: System Structure &amp; Connectivity]]^7*Final_std_lv3[[#This Row],[Pillar 3: Exposure to Shocks &amp; Stressors]]^6, 1/23)</f>
        <v>1.7109990558493586</v>
      </c>
      <c r="G8" t="s">
        <v>35</v>
      </c>
      <c r="H8">
        <v>2</v>
      </c>
    </row>
    <row r="9" spans="1:10" x14ac:dyDescent="0.2">
      <c r="A9">
        <v>2023</v>
      </c>
      <c r="B9">
        <v>1</v>
      </c>
      <c r="C9" s="3">
        <f>POWER(Pillar1_quarterly1018[[#This Row],[A. ASSET]]^10*Pillar1_quarterly1018[[#This Row],[B. ADAPTIVE CAPACITY]],1/10)</f>
        <v>1.7412788557569503</v>
      </c>
      <c r="D9" s="3">
        <f>POWER(Pillar2_quarterly1419[[#This Row],[A. SUPPLY &amp; DIVERSIFICATION]]^3*Pillar2_quarterly1419[[#This Row],[B. SUPPLY CHAIN]]^2*Pillar2_quarterly1419[[#This Row],[C. TRADE &amp; MARKET DEPENDENCY]]^2, 1/7)</f>
        <v>1.62073373344678</v>
      </c>
      <c r="E9" s="3">
        <f>POWER(Pillar3_quarterly1520[[#This Row],[A. ECONOMIC]]^3*Pillar3_quarterly1520[[#This Row],[B. BIOPHYSICAL &amp; CLIMATE]]^3, 1/6)</f>
        <v>1.7715802877143401</v>
      </c>
      <c r="F9" s="3">
        <f>POWER(Final_std_lv3[[#This Row],[Pillar 1: Resilience Capacities]]^10*Final_std_lv3[[#This Row],[Pillar 2: System Structure &amp; Connectivity]]^7*Final_std_lv3[[#This Row],[Pillar 3: Exposure to Shocks &amp; Stressors]]^6, 1/23)</f>
        <v>1.7113562875714308</v>
      </c>
    </row>
    <row r="10" spans="1:10" x14ac:dyDescent="0.2">
      <c r="A10">
        <v>2022</v>
      </c>
      <c r="B10">
        <v>4</v>
      </c>
      <c r="C10" s="3">
        <f>POWER(Pillar1_quarterly1018[[#This Row],[A. ASSET]]^10*Pillar1_quarterly1018[[#This Row],[B. ADAPTIVE CAPACITY]],1/10)</f>
        <v>1.7760168409181365</v>
      </c>
      <c r="D10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E10" s="3">
        <f>POWER(Pillar3_quarterly1520[[#This Row],[A. ECONOMIC]]^3*Pillar3_quarterly1520[[#This Row],[B. BIOPHYSICAL &amp; CLIMATE]]^3, 1/6)</f>
        <v>1.6359570418593514</v>
      </c>
      <c r="F10" s="3">
        <f>POWER(Final_std_lv3[[#This Row],[Pillar 1: Resilience Capacities]]^10*Final_std_lv3[[#This Row],[Pillar 2: System Structure &amp; Connectivity]]^7*Final_std_lv3[[#This Row],[Pillar 3: Exposure to Shocks &amp; Stressors]]^6, 1/23)</f>
        <v>1.6742332718524113</v>
      </c>
    </row>
    <row r="11" spans="1:10" x14ac:dyDescent="0.2">
      <c r="A11">
        <v>2022</v>
      </c>
      <c r="B11">
        <v>3</v>
      </c>
      <c r="C11" s="3">
        <f>POWER(Pillar1_quarterly1018[[#This Row],[A. ASSET]]^10*Pillar1_quarterly1018[[#This Row],[B. ADAPTIVE CAPACITY]],1/10)</f>
        <v>1.7760168409181365</v>
      </c>
      <c r="D11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E11" s="3">
        <f>POWER(Pillar3_quarterly1520[[#This Row],[A. ECONOMIC]]^3*Pillar3_quarterly1520[[#This Row],[B. BIOPHYSICAL &amp; CLIMATE]]^3, 1/6)</f>
        <v>1.6836720091311701</v>
      </c>
      <c r="F11" s="3">
        <f>POWER(Final_std_lv3[[#This Row],[Pillar 1: Resilience Capacities]]^10*Final_std_lv3[[#This Row],[Pillar 2: System Structure &amp; Connectivity]]^7*Final_std_lv3[[#This Row],[Pillar 3: Exposure to Shocks &amp; Stressors]]^6, 1/23)</f>
        <v>1.686836852278518</v>
      </c>
      <c r="G11" t="s">
        <v>53</v>
      </c>
      <c r="H11">
        <v>2</v>
      </c>
    </row>
    <row r="12" spans="1:10" x14ac:dyDescent="0.2">
      <c r="A12">
        <v>2022</v>
      </c>
      <c r="B12">
        <v>2</v>
      </c>
      <c r="C12" s="3">
        <f>POWER(Pillar1_quarterly1018[[#This Row],[A. ASSET]]^10*Pillar1_quarterly1018[[#This Row],[B. ADAPTIVE CAPACITY]],1/10)</f>
        <v>1.7760168409181365</v>
      </c>
      <c r="D12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E12" s="3">
        <f>POWER(Pillar3_quarterly1520[[#This Row],[A. ECONOMIC]]^3*Pillar3_quarterly1520[[#This Row],[B. BIOPHYSICAL &amp; CLIMATE]]^3, 1/6)</f>
        <v>1.5385098085439111</v>
      </c>
      <c r="F12" s="3">
        <f>POWER(Final_std_lv3[[#This Row],[Pillar 1: Resilience Capacities]]^10*Final_std_lv3[[#This Row],[Pillar 2: System Structure &amp; Connectivity]]^7*Final_std_lv3[[#This Row],[Pillar 3: Exposure to Shocks &amp; Stressors]]^6, 1/23)</f>
        <v>1.6476241646931871</v>
      </c>
      <c r="G12" t="s">
        <v>53</v>
      </c>
      <c r="H12">
        <v>2</v>
      </c>
    </row>
    <row r="13" spans="1:10" x14ac:dyDescent="0.2">
      <c r="A13">
        <v>2022</v>
      </c>
      <c r="B13">
        <v>1</v>
      </c>
      <c r="C13" s="3">
        <f>POWER(Pillar1_quarterly1018[[#This Row],[A. ASSET]]^10*Pillar1_quarterly1018[[#This Row],[B. ADAPTIVE CAPACITY]],1/10)</f>
        <v>1.7760168409181365</v>
      </c>
      <c r="D13" s="3">
        <f>POWER(Pillar2_quarterly1419[[#This Row],[A. SUPPLY &amp; DIVERSIFICATION]]^3*Pillar2_quarterly1419[[#This Row],[B. SUPPLY CHAIN]]^2*Pillar2_quarterly1419[[#This Row],[C. TRADE &amp; MARKET DEPENDENCY]]^2, 1/7)</f>
        <v>1.5696734064683395</v>
      </c>
      <c r="E13" s="3">
        <f>POWER(Pillar3_quarterly1520[[#This Row],[A. ECONOMIC]]^3*Pillar3_quarterly1520[[#This Row],[B. BIOPHYSICAL &amp; CLIMATE]]^3, 1/6)</f>
        <v>1.581555162348214</v>
      </c>
      <c r="F13" s="3">
        <f>POWER(Final_std_lv3[[#This Row],[Pillar 1: Resilience Capacities]]^10*Final_std_lv3[[#This Row],[Pillar 2: System Structure &amp; Connectivity]]^7*Final_std_lv3[[#This Row],[Pillar 3: Exposure to Shocks &amp; Stressors]]^6, 1/23)</f>
        <v>1.6595274225412844</v>
      </c>
    </row>
    <row r="14" spans="1:10" x14ac:dyDescent="0.2">
      <c r="A14">
        <v>2021</v>
      </c>
      <c r="B14">
        <v>4</v>
      </c>
      <c r="C14" s="3">
        <f>POWER(Pillar1_quarterly1018[[#This Row],[A. ASSET]]^10*Pillar1_quarterly1018[[#This Row],[B. ADAPTIVE CAPACITY]],1/10)</f>
        <v>1.5266729093188942</v>
      </c>
      <c r="D14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E14" s="3">
        <f>POWER(Pillar3_quarterly1520[[#This Row],[A. ECONOMIC]]^3*Pillar3_quarterly1520[[#This Row],[B. BIOPHYSICAL &amp; CLIMATE]]^3, 1/6)</f>
        <v>1.6738851015876561</v>
      </c>
      <c r="F14" s="3">
        <f>POWER(Final_std_lv3[[#This Row],[Pillar 1: Resilience Capacities]]^10*Final_std_lv3[[#This Row],[Pillar 2: System Structure &amp; Connectivity]]^7*Final_std_lv3[[#This Row],[Pillar 3: Exposure to Shocks &amp; Stressors]]^6, 1/23)</f>
        <v>1.6182759814046015</v>
      </c>
    </row>
    <row r="15" spans="1:10" x14ac:dyDescent="0.2">
      <c r="A15">
        <v>2021</v>
      </c>
      <c r="B15">
        <v>3</v>
      </c>
      <c r="C15" s="3">
        <f>POWER(Pillar1_quarterly1018[[#This Row],[A. ASSET]]^10*Pillar1_quarterly1018[[#This Row],[B. ADAPTIVE CAPACITY]],1/10)</f>
        <v>1.5266729093188942</v>
      </c>
      <c r="D15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E15" s="3">
        <f>POWER(Pillar3_quarterly1520[[#This Row],[A. ECONOMIC]]^3*Pillar3_quarterly1520[[#This Row],[B. BIOPHYSICAL &amp; CLIMATE]]^3, 1/6)</f>
        <v>1.4396325325357284</v>
      </c>
      <c r="F15" s="3">
        <f>POWER(Final_std_lv3[[#This Row],[Pillar 1: Resilience Capacities]]^10*Final_std_lv3[[#This Row],[Pillar 2: System Structure &amp; Connectivity]]^7*Final_std_lv3[[#This Row],[Pillar 3: Exposure to Shocks &amp; Stressors]]^6, 1/23)</f>
        <v>1.5558668104254252</v>
      </c>
      <c r="G15" t="s">
        <v>53</v>
      </c>
      <c r="H15">
        <v>3</v>
      </c>
    </row>
    <row r="16" spans="1:10" x14ac:dyDescent="0.2">
      <c r="A16">
        <v>2021</v>
      </c>
      <c r="B16">
        <v>2</v>
      </c>
      <c r="C16" s="3">
        <f>POWER(Pillar1_quarterly1018[[#This Row],[A. ASSET]]^10*Pillar1_quarterly1018[[#This Row],[B. ADAPTIVE CAPACITY]],1/10)</f>
        <v>1.5266729093188942</v>
      </c>
      <c r="D16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E16" s="3">
        <f>POWER(Pillar3_quarterly1520[[#This Row],[A. ECONOMIC]]^3*Pillar3_quarterly1520[[#This Row],[B. BIOPHYSICAL &amp; CLIMATE]]^3, 1/6)</f>
        <v>1.6422006151290609</v>
      </c>
      <c r="F16" s="3">
        <f>POWER(Final_std_lv3[[#This Row],[Pillar 1: Resilience Capacities]]^10*Final_std_lv3[[#This Row],[Pillar 2: System Structure &amp; Connectivity]]^7*Final_std_lv3[[#This Row],[Pillar 3: Exposure to Shocks &amp; Stressors]]^6, 1/23)</f>
        <v>1.6102285357142825</v>
      </c>
      <c r="G16" t="s">
        <v>53</v>
      </c>
      <c r="H16">
        <v>2</v>
      </c>
    </row>
    <row r="17" spans="1:10" x14ac:dyDescent="0.2">
      <c r="A17">
        <v>2021</v>
      </c>
      <c r="B17">
        <v>1</v>
      </c>
      <c r="C17" s="3">
        <f>POWER(Pillar1_quarterly1018[[#This Row],[A. ASSET]]^10*Pillar1_quarterly1018[[#This Row],[B. ADAPTIVE CAPACITY]],1/10)</f>
        <v>1.5266729093188942</v>
      </c>
      <c r="D17" s="3">
        <f>POWER(Pillar2_quarterly1419[[#This Row],[A. SUPPLY &amp; DIVERSIFICATION]]^3*Pillar2_quarterly1419[[#This Row],[B. SUPPLY CHAIN]]^2*Pillar2_quarterly1419[[#This Row],[C. TRADE &amp; MARKET DEPENDENCY]]^2, 1/7)</f>
        <v>1.7085510269903559</v>
      </c>
      <c r="E17" s="3">
        <f>POWER(Pillar3_quarterly1520[[#This Row],[A. ECONOMIC]]^3*Pillar3_quarterly1520[[#This Row],[B. BIOPHYSICAL &amp; CLIMATE]]^3, 1/6)</f>
        <v>1.7073660114290092</v>
      </c>
      <c r="F17" s="3">
        <f>POWER(Final_std_lv3[[#This Row],[Pillar 1: Resilience Capacities]]^10*Final_std_lv3[[#This Row],[Pillar 2: System Structure &amp; Connectivity]]^7*Final_std_lv3[[#This Row],[Pillar 3: Exposure to Shocks &amp; Stressors]]^6, 1/23)</f>
        <v>1.6266582653813042</v>
      </c>
      <c r="G17" t="s">
        <v>53</v>
      </c>
      <c r="H17">
        <v>2</v>
      </c>
    </row>
    <row r="18" spans="1:10" x14ac:dyDescent="0.2">
      <c r="A18">
        <v>2020</v>
      </c>
      <c r="B18">
        <v>4</v>
      </c>
      <c r="C18" s="3">
        <f>POWER(Pillar1_quarterly1018[[#This Row],[A. ASSET]]^10*Pillar1_quarterly1018[[#This Row],[B. ADAPTIVE CAPACITY]],1/10)</f>
        <v>1.468201945021723</v>
      </c>
      <c r="D18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E18" s="3">
        <f>POWER(Pillar3_quarterly1520[[#This Row],[A. ECONOMIC]]^3*Pillar3_quarterly1520[[#This Row],[B. BIOPHYSICAL &amp; CLIMATE]]^3, 1/6)</f>
        <v>1.7849396780913525</v>
      </c>
      <c r="F18" s="3">
        <f>POWER(Final_std_lv3[[#This Row],[Pillar 1: Resilience Capacities]]^10*Final_std_lv3[[#This Row],[Pillar 2: System Structure &amp; Connectivity]]^7*Final_std_lv3[[#This Row],[Pillar 3: Exposure to Shocks &amp; Stressors]]^6, 1/23)</f>
        <v>1.6048238597348707</v>
      </c>
      <c r="G18" t="s">
        <v>38</v>
      </c>
      <c r="H18">
        <v>1</v>
      </c>
    </row>
    <row r="19" spans="1:10" x14ac:dyDescent="0.2">
      <c r="A19">
        <v>2020</v>
      </c>
      <c r="B19">
        <v>3</v>
      </c>
      <c r="C19" s="3">
        <f>POWER(Pillar1_quarterly1018[[#This Row],[A. ASSET]]^10*Pillar1_quarterly1018[[#This Row],[B. ADAPTIVE CAPACITY]],1/10)</f>
        <v>1.468201945021723</v>
      </c>
      <c r="D19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E19" s="3">
        <f>POWER(Pillar3_quarterly1520[[#This Row],[A. ECONOMIC]]^3*Pillar3_quarterly1520[[#This Row],[B. BIOPHYSICAL &amp; CLIMATE]]^3, 1/6)</f>
        <v>1.6729092182704226</v>
      </c>
      <c r="F19" s="3">
        <f>POWER(Final_std_lv3[[#This Row],[Pillar 1: Resilience Capacities]]^10*Final_std_lv3[[#This Row],[Pillar 2: System Structure &amp; Connectivity]]^7*Final_std_lv3[[#This Row],[Pillar 3: Exposure to Shocks &amp; Stressors]]^6, 1/23)</f>
        <v>1.5779149439505691</v>
      </c>
      <c r="G19" t="s">
        <v>35</v>
      </c>
      <c r="H19">
        <v>1</v>
      </c>
    </row>
    <row r="20" spans="1:10" x14ac:dyDescent="0.2">
      <c r="A20">
        <v>2020</v>
      </c>
      <c r="B20">
        <v>2</v>
      </c>
      <c r="C20" s="3">
        <f>POWER(Pillar1_quarterly1018[[#This Row],[A. ASSET]]^10*Pillar1_quarterly1018[[#This Row],[B. ADAPTIVE CAPACITY]],1/10)</f>
        <v>1.468201945021723</v>
      </c>
      <c r="D20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E20" s="3">
        <f>POWER(Pillar3_quarterly1520[[#This Row],[A. ECONOMIC]]^3*Pillar3_quarterly1520[[#This Row],[B. BIOPHYSICAL &amp; CLIMATE]]^3, 1/6)</f>
        <v>1.5813145425234856</v>
      </c>
      <c r="F20" s="3">
        <f>POWER(Final_std_lv3[[#This Row],[Pillar 1: Resilience Capacities]]^10*Final_std_lv3[[#This Row],[Pillar 2: System Structure &amp; Connectivity]]^7*Final_std_lv3[[#This Row],[Pillar 3: Exposure to Shocks &amp; Stressors]]^6, 1/23)</f>
        <v>1.5549064188661603</v>
      </c>
      <c r="G20" t="s">
        <v>35</v>
      </c>
      <c r="H20">
        <v>2</v>
      </c>
    </row>
    <row r="21" spans="1:10" x14ac:dyDescent="0.2">
      <c r="A21">
        <v>2020</v>
      </c>
      <c r="B21">
        <v>1</v>
      </c>
      <c r="C21" s="3">
        <f>POWER(Pillar1_quarterly1018[[#This Row],[A. ASSET]]^10*Pillar1_quarterly1018[[#This Row],[B. ADAPTIVE CAPACITY]],1/10)</f>
        <v>1.468201945021723</v>
      </c>
      <c r="D21" s="3">
        <f>POWER(Pillar2_quarterly1419[[#This Row],[A. SUPPLY &amp; DIVERSIFICATION]]^3*Pillar2_quarterly1419[[#This Row],[B. SUPPLY CHAIN]]^2*Pillar2_quarterly1419[[#This Row],[C. TRADE &amp; MARKET DEPENDENCY]]^2, 1/7)</f>
        <v>1.6635386980423112</v>
      </c>
      <c r="E21" s="3">
        <f>POWER(Pillar3_quarterly1520[[#This Row],[A. ECONOMIC]]^3*Pillar3_quarterly1520[[#This Row],[B. BIOPHYSICAL &amp; CLIMATE]]^3, 1/6)</f>
        <v>1.5511704795416545</v>
      </c>
      <c r="F21" s="3">
        <f>POWER(Final_std_lv3[[#This Row],[Pillar 1: Resilience Capacities]]^10*Final_std_lv3[[#This Row],[Pillar 2: System Structure &amp; Connectivity]]^7*Final_std_lv3[[#This Row],[Pillar 3: Exposure to Shocks &amp; Stressors]]^6, 1/23)</f>
        <v>1.5471189908618126</v>
      </c>
    </row>
    <row r="22" spans="1:10" x14ac:dyDescent="0.2">
      <c r="A22">
        <v>2019</v>
      </c>
      <c r="B22">
        <v>4</v>
      </c>
      <c r="C22" s="3">
        <f>POWER(Pillar1_quarterly1018[[#This Row],[A. ASSET]]^10*Pillar1_quarterly1018[[#This Row],[B. ADAPTIVE CAPACITY]],1/10)</f>
        <v>1.5615221858834516</v>
      </c>
      <c r="D22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E22" s="3">
        <f>POWER(Pillar3_quarterly1520[[#This Row],[A. ECONOMIC]]^3*Pillar3_quarterly1520[[#This Row],[B. BIOPHYSICAL &amp; CLIMATE]]^3, 1/6)</f>
        <v>1.7796021569323806</v>
      </c>
      <c r="F22" s="3">
        <f>POWER(Final_std_lv3[[#This Row],[Pillar 1: Resilience Capacities]]^10*Final_std_lv3[[#This Row],[Pillar 2: System Structure &amp; Connectivity]]^7*Final_std_lv3[[#This Row],[Pillar 3: Exposure to Shocks &amp; Stressors]]^6, 1/23)</f>
        <v>1.6343193093904187</v>
      </c>
    </row>
    <row r="23" spans="1:10" x14ac:dyDescent="0.2">
      <c r="A23">
        <v>2019</v>
      </c>
      <c r="B23">
        <v>3</v>
      </c>
      <c r="C23" s="3">
        <f>POWER(Pillar1_quarterly1018[[#This Row],[A. ASSET]]^10*Pillar1_quarterly1018[[#This Row],[B. ADAPTIVE CAPACITY]],1/10)</f>
        <v>1.5615221858834516</v>
      </c>
      <c r="D23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E23" s="3">
        <f>POWER(Pillar3_quarterly1520[[#This Row],[A. ECONOMIC]]^3*Pillar3_quarterly1520[[#This Row],[B. BIOPHYSICAL &amp; CLIMATE]]^3, 1/6)</f>
        <v>1.7632580119844705</v>
      </c>
      <c r="F23" s="3">
        <f>POWER(Final_std_lv3[[#This Row],[Pillar 1: Resilience Capacities]]^10*Final_std_lv3[[#This Row],[Pillar 2: System Structure &amp; Connectivity]]^7*Final_std_lv3[[#This Row],[Pillar 3: Exposure to Shocks &amp; Stressors]]^6, 1/23)</f>
        <v>1.6303903364165799</v>
      </c>
      <c r="G23" t="s">
        <v>38</v>
      </c>
      <c r="H23">
        <v>1</v>
      </c>
      <c r="I23" t="s">
        <v>38</v>
      </c>
      <c r="J23">
        <v>1</v>
      </c>
    </row>
    <row r="24" spans="1:10" x14ac:dyDescent="0.2">
      <c r="A24">
        <v>2019</v>
      </c>
      <c r="B24">
        <v>2</v>
      </c>
      <c r="C24" s="3">
        <f>POWER(Pillar1_quarterly1018[[#This Row],[A. ASSET]]^10*Pillar1_quarterly1018[[#This Row],[B. ADAPTIVE CAPACITY]],1/10)</f>
        <v>1.5615221858834516</v>
      </c>
      <c r="D24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E24" s="3">
        <f>POWER(Pillar3_quarterly1520[[#This Row],[A. ECONOMIC]]^3*Pillar3_quarterly1520[[#This Row],[B. BIOPHYSICAL &amp; CLIMATE]]^3, 1/6)</f>
        <v>1.7289042794966527</v>
      </c>
      <c r="F24" s="3">
        <f>POWER(Final_std_lv3[[#This Row],[Pillar 1: Resilience Capacities]]^10*Final_std_lv3[[#This Row],[Pillar 2: System Structure &amp; Connectivity]]^7*Final_std_lv3[[#This Row],[Pillar 3: Exposure to Shocks &amp; Stressors]]^6, 1/23)</f>
        <v>1.6220434511090989</v>
      </c>
      <c r="G24" t="s">
        <v>38</v>
      </c>
      <c r="H24">
        <v>2</v>
      </c>
    </row>
    <row r="25" spans="1:10" x14ac:dyDescent="0.2">
      <c r="A25">
        <v>2019</v>
      </c>
      <c r="B25">
        <v>1</v>
      </c>
      <c r="C25" s="3">
        <f>POWER(Pillar1_quarterly1018[[#This Row],[A. ASSET]]^10*Pillar1_quarterly1018[[#This Row],[B. ADAPTIVE CAPACITY]],1/10)</f>
        <v>1.5615221858834516</v>
      </c>
      <c r="D25" s="3">
        <f>POWER(Pillar2_quarterly1419[[#This Row],[A. SUPPLY &amp; DIVERSIFICATION]]^3*Pillar2_quarterly1419[[#This Row],[B. SUPPLY CHAIN]]^2*Pillar2_quarterly1419[[#This Row],[C. TRADE &amp; MARKET DEPENDENCY]]^2, 1/7)</f>
        <v>1.6214526217977838</v>
      </c>
      <c r="E25" s="3">
        <f>POWER(Pillar3_quarterly1520[[#This Row],[A. ECONOMIC]]^3*Pillar3_quarterly1520[[#This Row],[B. BIOPHYSICAL &amp; CLIMATE]]^3, 1/6)</f>
        <v>1.5841340925623395</v>
      </c>
      <c r="F25" s="3">
        <f>POWER(Final_std_lv3[[#This Row],[Pillar 1: Resilience Capacities]]^10*Final_std_lv3[[#This Row],[Pillar 2: System Structure &amp; Connectivity]]^7*Final_std_lv3[[#This Row],[Pillar 3: Exposure to Shocks &amp; Stressors]]^6, 1/23)</f>
        <v>1.5854586376310651</v>
      </c>
    </row>
    <row r="26" spans="1:10" x14ac:dyDescent="0.2">
      <c r="A26">
        <v>2018</v>
      </c>
      <c r="B26">
        <v>4</v>
      </c>
      <c r="C26" s="3">
        <f>POWER(Pillar1_quarterly1018[[#This Row],[A. ASSET]]^10*Pillar1_quarterly1018[[#This Row],[B. ADAPTIVE CAPACITY]],1/10)</f>
        <v>1.506494124089591</v>
      </c>
      <c r="D26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E26" s="3">
        <f>POWER(Pillar3_quarterly1520[[#This Row],[A. ECONOMIC]]^3*Pillar3_quarterly1520[[#This Row],[B. BIOPHYSICAL &amp; CLIMATE]]^3, 1/6)</f>
        <v>1.5600340574537854</v>
      </c>
      <c r="F26" s="3">
        <f>POWER(Final_std_lv3[[#This Row],[Pillar 1: Resilience Capacities]]^10*Final_std_lv3[[#This Row],[Pillar 2: System Structure &amp; Connectivity]]^7*Final_std_lv3[[#This Row],[Pillar 3: Exposure to Shocks &amp; Stressors]]^6, 1/23)</f>
        <v>1.5339287933328563</v>
      </c>
    </row>
    <row r="27" spans="1:10" x14ac:dyDescent="0.2">
      <c r="A27">
        <v>2018</v>
      </c>
      <c r="B27">
        <v>3</v>
      </c>
      <c r="C27" s="3">
        <f>POWER(Pillar1_quarterly1018[[#This Row],[A. ASSET]]^10*Pillar1_quarterly1018[[#This Row],[B. ADAPTIVE CAPACITY]],1/10)</f>
        <v>1.506494124089591</v>
      </c>
      <c r="D27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E27" s="3">
        <f>POWER(Pillar3_quarterly1520[[#This Row],[A. ECONOMIC]]^3*Pillar3_quarterly1520[[#This Row],[B. BIOPHYSICAL &amp; CLIMATE]]^3, 1/6)</f>
        <v>1.5610922969912997</v>
      </c>
      <c r="F27" s="3">
        <f>POWER(Final_std_lv3[[#This Row],[Pillar 1: Resilience Capacities]]^10*Final_std_lv3[[#This Row],[Pillar 2: System Structure &amp; Connectivity]]^7*Final_std_lv3[[#This Row],[Pillar 3: Exposure to Shocks &amp; Stressors]]^6, 1/23)</f>
        <v>1.534200168230518</v>
      </c>
      <c r="G27" t="s">
        <v>53</v>
      </c>
      <c r="H27">
        <v>2</v>
      </c>
    </row>
    <row r="28" spans="1:10" x14ac:dyDescent="0.2">
      <c r="A28">
        <v>2018</v>
      </c>
      <c r="B28">
        <v>2</v>
      </c>
      <c r="C28" s="3">
        <f>POWER(Pillar1_quarterly1018[[#This Row],[A. ASSET]]^10*Pillar1_quarterly1018[[#This Row],[B. ADAPTIVE CAPACITY]],1/10)</f>
        <v>1.506494124089591</v>
      </c>
      <c r="D28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E28" s="3">
        <f>POWER(Pillar3_quarterly1520[[#This Row],[A. ECONOMIC]]^3*Pillar3_quarterly1520[[#This Row],[B. BIOPHYSICAL &amp; CLIMATE]]^3, 1/6)</f>
        <v>1.7466372107333383</v>
      </c>
      <c r="F28" s="3">
        <f>POWER(Final_std_lv3[[#This Row],[Pillar 1: Resilience Capacities]]^10*Final_std_lv3[[#This Row],[Pillar 2: System Structure &amp; Connectivity]]^7*Final_std_lv3[[#This Row],[Pillar 3: Exposure to Shocks &amp; Stressors]]^6, 1/23)</f>
        <v>1.5798131026556896</v>
      </c>
    </row>
    <row r="29" spans="1:10" x14ac:dyDescent="0.2">
      <c r="A29">
        <v>2018</v>
      </c>
      <c r="B29">
        <v>1</v>
      </c>
      <c r="C29" s="3">
        <f>POWER(Pillar1_quarterly1018[[#This Row],[A. ASSET]]^10*Pillar1_quarterly1018[[#This Row],[B. ADAPTIVE CAPACITY]],1/10)</f>
        <v>1.506494124089591</v>
      </c>
      <c r="D29" s="3">
        <f>POWER(Pillar2_quarterly1419[[#This Row],[A. SUPPLY &amp; DIVERSIFICATION]]^3*Pillar2_quarterly1419[[#This Row],[B. SUPPLY CHAIN]]^2*Pillar2_quarterly1419[[#This Row],[C. TRADE &amp; MARKET DEPENDENCY]]^2, 1/7)</f>
        <v>1.5513868253863941</v>
      </c>
      <c r="E29" s="3">
        <f>POWER(Pillar3_quarterly1520[[#This Row],[A. ECONOMIC]]^3*Pillar3_quarterly1520[[#This Row],[B. BIOPHYSICAL &amp; CLIMATE]]^3, 1/6)</f>
        <v>1.6619139883191643</v>
      </c>
      <c r="F29" s="3">
        <f>POWER(Final_std_lv3[[#This Row],[Pillar 1: Resilience Capacities]]^10*Final_std_lv3[[#This Row],[Pillar 2: System Structure &amp; Connectivity]]^7*Final_std_lv3[[#This Row],[Pillar 3: Exposure to Shocks &amp; Stressors]]^6, 1/23)</f>
        <v>1.5594535775873588</v>
      </c>
      <c r="G29" t="s">
        <v>35</v>
      </c>
      <c r="H29">
        <v>2</v>
      </c>
    </row>
    <row r="30" spans="1:10" x14ac:dyDescent="0.2">
      <c r="A30">
        <v>2017</v>
      </c>
      <c r="B30">
        <v>4</v>
      </c>
      <c r="C30" s="3">
        <f>POWER(Pillar1_quarterly1018[[#This Row],[A. ASSET]]^10*Pillar1_quarterly1018[[#This Row],[B. ADAPTIVE CAPACITY]],1/10)</f>
        <v>1.5765066483251562</v>
      </c>
      <c r="D30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E30" s="3">
        <f>POWER(Pillar3_quarterly1520[[#This Row],[A. ECONOMIC]]^3*Pillar3_quarterly1520[[#This Row],[B. BIOPHYSICAL &amp; CLIMATE]]^3, 1/6)</f>
        <v>1.5811285990547137</v>
      </c>
      <c r="F30" s="3">
        <f>POWER(Final_std_lv3[[#This Row],[Pillar 1: Resilience Capacities]]^10*Final_std_lv3[[#This Row],[Pillar 2: System Structure &amp; Connectivity]]^7*Final_std_lv3[[#This Row],[Pillar 3: Exposure to Shocks &amp; Stressors]]^6, 1/23)</f>
        <v>1.5608960620480363</v>
      </c>
    </row>
    <row r="31" spans="1:10" x14ac:dyDescent="0.2">
      <c r="A31">
        <v>2017</v>
      </c>
      <c r="B31">
        <v>3</v>
      </c>
      <c r="C31" s="3">
        <f>POWER(Pillar1_quarterly1018[[#This Row],[A. ASSET]]^10*Pillar1_quarterly1018[[#This Row],[B. ADAPTIVE CAPACITY]],1/10)</f>
        <v>1.5765066483251562</v>
      </c>
      <c r="D31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E31" s="3">
        <f>POWER(Pillar3_quarterly1520[[#This Row],[A. ECONOMIC]]^3*Pillar3_quarterly1520[[#This Row],[B. BIOPHYSICAL &amp; CLIMATE]]^3, 1/6)</f>
        <v>1.6061780685658575</v>
      </c>
      <c r="F31" s="3">
        <f>POWER(Final_std_lv3[[#This Row],[Pillar 1: Resilience Capacities]]^10*Final_std_lv3[[#This Row],[Pillar 2: System Structure &amp; Connectivity]]^7*Final_std_lv3[[#This Row],[Pillar 3: Exposure to Shocks &amp; Stressors]]^6, 1/23)</f>
        <v>1.5673096600521379</v>
      </c>
    </row>
    <row r="32" spans="1:10" x14ac:dyDescent="0.2">
      <c r="A32">
        <v>2017</v>
      </c>
      <c r="B32">
        <v>2</v>
      </c>
      <c r="C32" s="3">
        <f>POWER(Pillar1_quarterly1018[[#This Row],[A. ASSET]]^10*Pillar1_quarterly1018[[#This Row],[B. ADAPTIVE CAPACITY]],1/10)</f>
        <v>1.5765066483251562</v>
      </c>
      <c r="D32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E32" s="3">
        <f>POWER(Pillar3_quarterly1520[[#This Row],[A. ECONOMIC]]^3*Pillar3_quarterly1520[[#This Row],[B. BIOPHYSICAL &amp; CLIMATE]]^3, 1/6)</f>
        <v>1.6206596857232618</v>
      </c>
      <c r="F32" s="3">
        <f>POWER(Final_std_lv3[[#This Row],[Pillar 1: Resilience Capacities]]^10*Final_std_lv3[[#This Row],[Pillar 2: System Structure &amp; Connectivity]]^7*Final_std_lv3[[#This Row],[Pillar 3: Exposure to Shocks &amp; Stressors]]^6, 1/23)</f>
        <v>1.5709838332142312</v>
      </c>
    </row>
    <row r="33" spans="1:8" x14ac:dyDescent="0.2">
      <c r="A33">
        <v>2017</v>
      </c>
      <c r="B33">
        <v>1</v>
      </c>
      <c r="C33" s="3">
        <f>POWER(Pillar1_quarterly1018[[#This Row],[A. ASSET]]^10*Pillar1_quarterly1018[[#This Row],[B. ADAPTIVE CAPACITY]],1/10)</f>
        <v>1.5765066483251562</v>
      </c>
      <c r="D33" s="3">
        <f>POWER(Pillar2_quarterly1419[[#This Row],[A. SUPPLY &amp; DIVERSIFICATION]]^3*Pillar2_quarterly1419[[#This Row],[B. SUPPLY CHAIN]]^2*Pillar2_quarterly1419[[#This Row],[C. TRADE &amp; MARKET DEPENDENCY]]^2, 1/7)</f>
        <v>1.5219688881450484</v>
      </c>
      <c r="E33" s="3">
        <f>POWER(Pillar3_quarterly1520[[#This Row],[A. ECONOMIC]]^3*Pillar3_quarterly1520[[#This Row],[B. BIOPHYSICAL &amp; CLIMATE]]^3, 1/6)</f>
        <v>1.6569016100706577</v>
      </c>
      <c r="F33" s="3">
        <f>POWER(Final_std_lv3[[#This Row],[Pillar 1: Resilience Capacities]]^10*Final_std_lv3[[#This Row],[Pillar 2: System Structure &amp; Connectivity]]^7*Final_std_lv3[[#This Row],[Pillar 3: Exposure to Shocks &amp; Stressors]]^6, 1/23)</f>
        <v>1.5800736822055468</v>
      </c>
    </row>
    <row r="34" spans="1:8" x14ac:dyDescent="0.2">
      <c r="A34">
        <v>2016</v>
      </c>
      <c r="B34">
        <v>4</v>
      </c>
      <c r="C34" s="3">
        <f>POWER(Pillar1_quarterly1018[[#This Row],[A. ASSET]]^10*Pillar1_quarterly1018[[#This Row],[B. ADAPTIVE CAPACITY]],1/10)</f>
        <v>1.5829076241822768</v>
      </c>
      <c r="D34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E34" s="3">
        <f>POWER(Pillar3_quarterly1520[[#This Row],[A. ECONOMIC]]^3*Pillar3_quarterly1520[[#This Row],[B. BIOPHYSICAL &amp; CLIMATE]]^3, 1/6)</f>
        <v>1.9042397667845605</v>
      </c>
      <c r="F34" s="3">
        <f>POWER(Final_std_lv3[[#This Row],[Pillar 1: Resilience Capacities]]^10*Final_std_lv3[[#This Row],[Pillar 2: System Structure &amp; Connectivity]]^7*Final_std_lv3[[#This Row],[Pillar 3: Exposure to Shocks &amp; Stressors]]^6, 1/23)</f>
        <v>1.6236405123873481</v>
      </c>
      <c r="G34" t="s">
        <v>38</v>
      </c>
      <c r="H34">
        <v>1</v>
      </c>
    </row>
    <row r="35" spans="1:8" x14ac:dyDescent="0.2">
      <c r="A35">
        <v>2016</v>
      </c>
      <c r="B35">
        <v>3</v>
      </c>
      <c r="C35" s="3">
        <f>POWER(Pillar1_quarterly1018[[#This Row],[A. ASSET]]^10*Pillar1_quarterly1018[[#This Row],[B. ADAPTIVE CAPACITY]],1/10)</f>
        <v>1.5829076241822768</v>
      </c>
      <c r="D35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E35" s="3">
        <f>POWER(Pillar3_quarterly1520[[#This Row],[A. ECONOMIC]]^3*Pillar3_quarterly1520[[#This Row],[B. BIOPHYSICAL &amp; CLIMATE]]^3, 1/6)</f>
        <v>1.5377942740389161</v>
      </c>
      <c r="F35" s="3">
        <f>POWER(Final_std_lv3[[#This Row],[Pillar 1: Resilience Capacities]]^10*Final_std_lv3[[#This Row],[Pillar 2: System Structure &amp; Connectivity]]^7*Final_std_lv3[[#This Row],[Pillar 3: Exposure to Shocks &amp; Stressors]]^6, 1/23)</f>
        <v>1.5355893148120729</v>
      </c>
    </row>
    <row r="36" spans="1:8" x14ac:dyDescent="0.2">
      <c r="A36">
        <v>2016</v>
      </c>
      <c r="B36">
        <v>2</v>
      </c>
      <c r="C36" s="3">
        <f>POWER(Pillar1_quarterly1018[[#This Row],[A. ASSET]]^10*Pillar1_quarterly1018[[#This Row],[B. ADAPTIVE CAPACITY]],1/10)</f>
        <v>1.5829076241822768</v>
      </c>
      <c r="D36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E36" s="3">
        <f>POWER(Pillar3_quarterly1520[[#This Row],[A. ECONOMIC]]^3*Pillar3_quarterly1520[[#This Row],[B. BIOPHYSICAL &amp; CLIMATE]]^3, 1/6)</f>
        <v>1.8908592836977332</v>
      </c>
      <c r="F36" s="3">
        <f>POWER(Final_std_lv3[[#This Row],[Pillar 1: Resilience Capacities]]^10*Final_std_lv3[[#This Row],[Pillar 2: System Structure &amp; Connectivity]]^7*Final_std_lv3[[#This Row],[Pillar 3: Exposure to Shocks &amp; Stressors]]^6, 1/23)</f>
        <v>1.6206565428725204</v>
      </c>
      <c r="G36" t="s">
        <v>38</v>
      </c>
      <c r="H36">
        <v>2</v>
      </c>
    </row>
    <row r="37" spans="1:8" x14ac:dyDescent="0.2">
      <c r="A37">
        <v>2016</v>
      </c>
      <c r="B37">
        <v>1</v>
      </c>
      <c r="C37" s="3">
        <f>POWER(Pillar1_quarterly1018[[#This Row],[A. ASSET]]^10*Pillar1_quarterly1018[[#This Row],[B. ADAPTIVE CAPACITY]],1/10)</f>
        <v>1.5829076241822768</v>
      </c>
      <c r="D37" s="3">
        <f>POWER(Pillar2_quarterly1419[[#This Row],[A. SUPPLY &amp; DIVERSIFICATION]]^3*Pillar2_quarterly1419[[#This Row],[B. SUPPLY CHAIN]]^2*Pillar2_quarterly1419[[#This Row],[C. TRADE &amp; MARKET DEPENDENCY]]^2, 1/7)</f>
        <v>1.4686275653754441</v>
      </c>
      <c r="E37" s="3">
        <f>POWER(Pillar3_quarterly1520[[#This Row],[A. ECONOMIC]]^3*Pillar3_quarterly1520[[#This Row],[B. BIOPHYSICAL &amp; CLIMATE]]^3, 1/6)</f>
        <v>1.7847536120685417</v>
      </c>
      <c r="F37" s="3">
        <f>POWER(Final_std_lv3[[#This Row],[Pillar 1: Resilience Capacities]]^10*Final_std_lv3[[#This Row],[Pillar 2: System Structure &amp; Connectivity]]^7*Final_std_lv3[[#This Row],[Pillar 3: Exposure to Shocks &amp; Stressors]]^6, 1/23)</f>
        <v>1.5964235759344334</v>
      </c>
      <c r="G37" t="s">
        <v>38</v>
      </c>
      <c r="H37">
        <v>2</v>
      </c>
    </row>
    <row r="38" spans="1:8" x14ac:dyDescent="0.2">
      <c r="A38">
        <v>2015</v>
      </c>
      <c r="B38">
        <v>4</v>
      </c>
      <c r="C38" s="3">
        <f>POWER(Pillar1_quarterly1018[[#This Row],[A. ASSET]]^10*Pillar1_quarterly1018[[#This Row],[B. ADAPTIVE CAPACITY]],1/10)</f>
        <v>1.3849320264845117</v>
      </c>
      <c r="D38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E38" s="3">
        <f>POWER(Pillar3_quarterly1520[[#This Row],[A. ECONOMIC]]^3*Pillar3_quarterly1520[[#This Row],[B. BIOPHYSICAL &amp; CLIMATE]]^3, 1/6)</f>
        <v>1.9298569312297231</v>
      </c>
      <c r="F38" s="3">
        <f>POWER(Final_std_lv3[[#This Row],[Pillar 1: Resilience Capacities]]^10*Final_std_lv3[[#This Row],[Pillar 2: System Structure &amp; Connectivity]]^7*Final_std_lv3[[#This Row],[Pillar 3: Exposure to Shocks &amp; Stressors]]^6, 1/23)</f>
        <v>1.4977221800663649</v>
      </c>
      <c r="G38" t="s">
        <v>38</v>
      </c>
      <c r="H38">
        <v>2</v>
      </c>
    </row>
    <row r="39" spans="1:8" x14ac:dyDescent="0.2">
      <c r="A39">
        <v>2015</v>
      </c>
      <c r="B39">
        <v>3</v>
      </c>
      <c r="C39" s="3">
        <f>POWER(Pillar1_quarterly1018[[#This Row],[A. ASSET]]^10*Pillar1_quarterly1018[[#This Row],[B. ADAPTIVE CAPACITY]],1/10)</f>
        <v>1.3849320264845117</v>
      </c>
      <c r="D39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E39" s="3">
        <f>POWER(Pillar3_quarterly1520[[#This Row],[A. ECONOMIC]]^3*Pillar3_quarterly1520[[#This Row],[B. BIOPHYSICAL &amp; CLIMATE]]^3, 1/6)</f>
        <v>1.9077339118580452</v>
      </c>
      <c r="F39" s="3">
        <f>POWER(Final_std_lv3[[#This Row],[Pillar 1: Resilience Capacities]]^10*Final_std_lv3[[#This Row],[Pillar 2: System Structure &amp; Connectivity]]^7*Final_std_lv3[[#This Row],[Pillar 3: Exposure to Shocks &amp; Stressors]]^6, 1/23)</f>
        <v>1.4932241510917044</v>
      </c>
    </row>
    <row r="40" spans="1:8" x14ac:dyDescent="0.2">
      <c r="A40">
        <v>2015</v>
      </c>
      <c r="B40">
        <v>2</v>
      </c>
      <c r="C40" s="3">
        <f>POWER(Pillar1_quarterly1018[[#This Row],[A. ASSET]]^10*Pillar1_quarterly1018[[#This Row],[B. ADAPTIVE CAPACITY]],1/10)</f>
        <v>1.3849320264845117</v>
      </c>
      <c r="D40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E40" s="3">
        <f>POWER(Pillar3_quarterly1520[[#This Row],[A. ECONOMIC]]^3*Pillar3_quarterly1520[[#This Row],[B. BIOPHYSICAL &amp; CLIMATE]]^3, 1/6)</f>
        <v>1.8372369497501106</v>
      </c>
      <c r="F40" s="3">
        <f>POWER(Final_std_lv3[[#This Row],[Pillar 1: Resilience Capacities]]^10*Final_std_lv3[[#This Row],[Pillar 2: System Structure &amp; Connectivity]]^7*Final_std_lv3[[#This Row],[Pillar 3: Exposure to Shocks &amp; Stressors]]^6, 1/23)</f>
        <v>1.4786286007178295</v>
      </c>
      <c r="G40" t="s">
        <v>35</v>
      </c>
      <c r="H40">
        <v>2</v>
      </c>
    </row>
    <row r="41" spans="1:8" x14ac:dyDescent="0.2">
      <c r="A41">
        <v>2015</v>
      </c>
      <c r="B41">
        <v>1</v>
      </c>
      <c r="C41" s="3">
        <f>POWER(Pillar1_quarterly1018[[#This Row],[A. ASSET]]^10*Pillar1_quarterly1018[[#This Row],[B. ADAPTIVE CAPACITY]],1/10)</f>
        <v>1.3849320264845117</v>
      </c>
      <c r="D41" s="3">
        <f>POWER(Pillar2_quarterly1419[[#This Row],[A. SUPPLY &amp; DIVERSIFICATION]]^3*Pillar2_quarterly1419[[#This Row],[B. SUPPLY CHAIN]]^2*Pillar2_quarterly1419[[#This Row],[C. TRADE &amp; MARKET DEPENDENCY]]^2, 1/7)</f>
        <v>1.347846809000175</v>
      </c>
      <c r="E41" s="3">
        <f>POWER(Pillar3_quarterly1520[[#This Row],[A. ECONOMIC]]^3*Pillar3_quarterly1520[[#This Row],[B. BIOPHYSICAL &amp; CLIMATE]]^3, 1/6)</f>
        <v>1.8547423342965337</v>
      </c>
      <c r="F41" s="3">
        <f>POWER(Final_std_lv3[[#This Row],[Pillar 1: Resilience Capacities]]^10*Final_std_lv3[[#This Row],[Pillar 2: System Structure &amp; Connectivity]]^7*Final_std_lv3[[#This Row],[Pillar 3: Exposure to Shocks &amp; Stressors]]^6, 1/23)</f>
        <v>1.4822909980762684</v>
      </c>
    </row>
    <row r="42" spans="1:8" x14ac:dyDescent="0.2">
      <c r="A42">
        <v>2014</v>
      </c>
      <c r="B42">
        <v>4</v>
      </c>
      <c r="C42" s="3">
        <f>POWER(Pillar1_quarterly1018[[#This Row],[A. ASSET]]^10*Pillar1_quarterly1018[[#This Row],[B. ADAPTIVE CAPACITY]],1/10)</f>
        <v>1.4946525154080272</v>
      </c>
      <c r="D42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E42" s="3">
        <f>POWER(Pillar3_quarterly1520[[#This Row],[A. ECONOMIC]]^3*Pillar3_quarterly1520[[#This Row],[B. BIOPHYSICAL &amp; CLIMATE]]^3, 1/6)</f>
        <v>1.8423363149139063</v>
      </c>
      <c r="F42" s="3">
        <f>POWER(Final_std_lv3[[#This Row],[Pillar 1: Resilience Capacities]]^10*Final_std_lv3[[#This Row],[Pillar 2: System Structure &amp; Connectivity]]^7*Final_std_lv3[[#This Row],[Pillar 3: Exposure to Shocks &amp; Stressors]]^6, 1/23)</f>
        <v>1.4726748601202044</v>
      </c>
      <c r="G42" t="s">
        <v>38</v>
      </c>
      <c r="H42">
        <v>1</v>
      </c>
    </row>
    <row r="43" spans="1:8" x14ac:dyDescent="0.2">
      <c r="A43">
        <v>2014</v>
      </c>
      <c r="B43">
        <v>3</v>
      </c>
      <c r="C43" s="3">
        <f>POWER(Pillar1_quarterly1018[[#This Row],[A. ASSET]]^10*Pillar1_quarterly1018[[#This Row],[B. ADAPTIVE CAPACITY]],1/10)</f>
        <v>1.4946525154080272</v>
      </c>
      <c r="D43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E43" s="3">
        <f>POWER(Pillar3_quarterly1520[[#This Row],[A. ECONOMIC]]^3*Pillar3_quarterly1520[[#This Row],[B. BIOPHYSICAL &amp; CLIMATE]]^3, 1/6)</f>
        <v>1.8579556067984331</v>
      </c>
      <c r="F43" s="3">
        <f>POWER(Final_std_lv3[[#This Row],[Pillar 1: Resilience Capacities]]^10*Final_std_lv3[[#This Row],[Pillar 2: System Structure &amp; Connectivity]]^7*Final_std_lv3[[#This Row],[Pillar 3: Exposure to Shocks &amp; Stressors]]^6, 1/23)</f>
        <v>1.4759217423199418</v>
      </c>
    </row>
    <row r="44" spans="1:8" x14ac:dyDescent="0.2">
      <c r="A44">
        <v>2014</v>
      </c>
      <c r="B44">
        <v>2</v>
      </c>
      <c r="C44" s="3">
        <f>POWER(Pillar1_quarterly1018[[#This Row],[A. ASSET]]^10*Pillar1_quarterly1018[[#This Row],[B. ADAPTIVE CAPACITY]],1/10)</f>
        <v>1.4946525154080272</v>
      </c>
      <c r="D44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E44" s="3">
        <f>POWER(Pillar3_quarterly1520[[#This Row],[A. ECONOMIC]]^3*Pillar3_quarterly1520[[#This Row],[B. BIOPHYSICAL &amp; CLIMATE]]^3, 1/6)</f>
        <v>1.8592865929208369</v>
      </c>
      <c r="F44" s="3">
        <f>POWER(Final_std_lv3[[#This Row],[Pillar 1: Resilience Capacities]]^10*Final_std_lv3[[#This Row],[Pillar 2: System Structure &amp; Connectivity]]^7*Final_std_lv3[[#This Row],[Pillar 3: Exposure to Shocks &amp; Stressors]]^6, 1/23)</f>
        <v>1.4761974888106508</v>
      </c>
    </row>
    <row r="45" spans="1:8" x14ac:dyDescent="0.2">
      <c r="A45">
        <v>2014</v>
      </c>
      <c r="B45">
        <v>1</v>
      </c>
      <c r="C45" s="3">
        <f>POWER(Pillar1_quarterly1018[[#This Row],[A. ASSET]]^10*Pillar1_quarterly1018[[#This Row],[B. ADAPTIVE CAPACITY]],1/10)</f>
        <v>1.4946525154080272</v>
      </c>
      <c r="D45" s="3">
        <f>POWER(Pillar2_quarterly1419[[#This Row],[A. SUPPLY &amp; DIVERSIFICATION]]^3*Pillar2_quarterly1419[[#This Row],[B. SUPPLY CHAIN]]^2*Pillar2_quarterly1419[[#This Row],[C. TRADE &amp; MARKET DEPENDENCY]]^2, 1/7)</f>
        <v>1.1900052850038487</v>
      </c>
      <c r="E45" s="3">
        <f>POWER(Pillar3_quarterly1520[[#This Row],[A. ECONOMIC]]^3*Pillar3_quarterly1520[[#This Row],[B. BIOPHYSICAL &amp; CLIMATE]]^3, 1/6)</f>
        <v>1.6501708441230507</v>
      </c>
      <c r="F45" s="3">
        <f>POWER(Final_std_lv3[[#This Row],[Pillar 1: Resilience Capacities]]^10*Final_std_lv3[[#This Row],[Pillar 2: System Structure &amp; Connectivity]]^7*Final_std_lv3[[#This Row],[Pillar 3: Exposure to Shocks &amp; Stressors]]^6, 1/23)</f>
        <v>1.4309579514994595</v>
      </c>
    </row>
    <row r="47" spans="1:8" x14ac:dyDescent="0.2">
      <c r="C47" s="3"/>
      <c r="D47" s="3"/>
      <c r="E47" s="3"/>
      <c r="F47" s="3"/>
      <c r="G47" s="3"/>
    </row>
    <row r="50" spans="6:6" x14ac:dyDescent="0.2">
      <c r="F50" s="3"/>
    </row>
    <row r="51" spans="6:6" x14ac:dyDescent="0.2">
      <c r="F51" s="3"/>
    </row>
    <row r="52" spans="6:6" x14ac:dyDescent="0.2">
      <c r="F52" s="3"/>
    </row>
    <row r="53" spans="6:6" x14ac:dyDescent="0.2">
      <c r="F53" s="3"/>
    </row>
    <row r="54" spans="6:6" x14ac:dyDescent="0.2">
      <c r="F54" s="3"/>
    </row>
    <row r="55" spans="6:6" x14ac:dyDescent="0.2">
      <c r="F55" s="3"/>
    </row>
    <row r="56" spans="6:6" x14ac:dyDescent="0.2">
      <c r="F56" s="3"/>
    </row>
    <row r="57" spans="6:6" x14ac:dyDescent="0.2">
      <c r="F57" s="3"/>
    </row>
    <row r="58" spans="6:6" x14ac:dyDescent="0.2">
      <c r="F58" s="3"/>
    </row>
    <row r="59" spans="6:6" x14ac:dyDescent="0.2">
      <c r="F59" s="3"/>
    </row>
    <row r="60" spans="6:6" x14ac:dyDescent="0.2">
      <c r="F60" s="3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2307-FAFC-3542-892A-98C75B8412D7}">
  <dimension ref="A1:L51"/>
  <sheetViews>
    <sheetView workbookViewId="0">
      <selection activeCell="F2" sqref="F2"/>
    </sheetView>
  </sheetViews>
  <sheetFormatPr baseColWidth="10" defaultRowHeight="16" x14ac:dyDescent="0.2"/>
  <cols>
    <col min="4" max="4" width="14.83203125" customWidth="1"/>
    <col min="8" max="8" width="22.6640625" customWidth="1"/>
    <col min="9" max="9" width="22.1640625" customWidth="1"/>
  </cols>
  <sheetData>
    <row r="1" spans="1:12" ht="31" customHeight="1" x14ac:dyDescent="0.2">
      <c r="A1" s="10" t="s">
        <v>0</v>
      </c>
      <c r="B1" s="10" t="s">
        <v>1</v>
      </c>
      <c r="C1" s="10" t="s">
        <v>109</v>
      </c>
      <c r="D1" s="10" t="s">
        <v>97</v>
      </c>
      <c r="E1" s="10" t="s">
        <v>98</v>
      </c>
      <c r="F1" s="10" t="s">
        <v>99</v>
      </c>
      <c r="G1" s="10" t="s">
        <v>100</v>
      </c>
      <c r="H1" s="10" t="s">
        <v>110</v>
      </c>
      <c r="I1" s="10" t="s">
        <v>31</v>
      </c>
      <c r="J1" s="10" t="s">
        <v>33</v>
      </c>
      <c r="K1" s="10" t="s">
        <v>95</v>
      </c>
      <c r="L1" s="10" t="s">
        <v>96</v>
      </c>
    </row>
    <row r="2" spans="1:12" x14ac:dyDescent="0.2">
      <c r="A2">
        <v>2024</v>
      </c>
      <c r="B2">
        <v>4</v>
      </c>
      <c r="C2">
        <f>POWER(Pillar1_quarterly1018[[#This Row],[A1. Financial]]^3*Pillar1_quarterly1018[[#This Row],[A2. Physical]]^2*Pillar1_quarterly1018[[#This Row],[A3. Human]]^4*Pillar1_quarterly1018[[#This Row],[A4. Social]],1/9)</f>
        <v>1.7864209674137739</v>
      </c>
      <c r="D2" s="14">
        <f>POWER(Pillar1_quarterly10[[#This Row],[GRDP per capital growth YoY]]*Pillar1_quarterly10[[#This Row],[Income per capital YoY]]*Pillar1_quarterly10[[#This Row],[Poverty rate YoY]],1/3)</f>
        <v>1.6172557235016083</v>
      </c>
      <c r="E2" s="19">
        <f>POWER(Pillar1_quarterly10[[#This Row],[% semi-permanent housing and below]]*Pillar1_quarterly10[[#This Row],[% of Agriculture land]],1/2)</f>
        <v>1.6546231527987818</v>
      </c>
      <c r="F2" s="19">
        <f>POWER(Pillar1_quarterly10[[#This Row],[Literacy rate of population aged 15+ ]]*Pillar1_quarterly10[[#This Row],[Rate of trained labor (%)]]*Pillar1_quarterly10[[#This Row],[Social security rate (%)]],1/3)</f>
        <v>1.9999999999999998</v>
      </c>
      <c r="G2" s="19">
        <f>(Pillar1_quarterly10[[#This Row],[Expenditure on human health, population and family planning / GRDP (%)]])</f>
        <v>1</v>
      </c>
      <c r="H2" s="19">
        <f>Pillar1_quarterly10[[#This Row],[HHI for Employed population by economic sector]]</f>
        <v>1</v>
      </c>
    </row>
    <row r="3" spans="1:12" x14ac:dyDescent="0.2">
      <c r="A3">
        <v>2024</v>
      </c>
      <c r="B3">
        <v>3</v>
      </c>
      <c r="C3">
        <f>POWER(Pillar1_quarterly1018[[#This Row],[A1. Financial]]^3*Pillar1_quarterly1018[[#This Row],[A2. Physical]]^2*Pillar1_quarterly1018[[#This Row],[A3. Human]]^4*Pillar1_quarterly1018[[#This Row],[A4. Social]],1/9)</f>
        <v>1.7864209674137739</v>
      </c>
      <c r="D3" s="14">
        <f>POWER(Pillar1_quarterly10[[#This Row],[GRDP per capital growth YoY]]*Pillar1_quarterly10[[#This Row],[Income per capital YoY]]*Pillar1_quarterly10[[#This Row],[Poverty rate YoY]],1/3)</f>
        <v>1.6172557235016083</v>
      </c>
      <c r="E3" s="19">
        <f>POWER(Pillar1_quarterly10[[#This Row],[% semi-permanent housing and below]]*Pillar1_quarterly10[[#This Row],[% of Agriculture land]],1/2)</f>
        <v>1.6546231527987818</v>
      </c>
      <c r="F3" s="19">
        <f>POWER(Pillar1_quarterly10[[#This Row],[Literacy rate of population aged 15+ ]]*Pillar1_quarterly10[[#This Row],[Rate of trained labor (%)]]*Pillar1_quarterly10[[#This Row],[Social security rate (%)]],1/3)</f>
        <v>1.9999999999999998</v>
      </c>
      <c r="G3" s="19">
        <f>(Pillar1_quarterly10[[#This Row],[Expenditure on human health, population and family planning / GRDP (%)]])</f>
        <v>1</v>
      </c>
      <c r="H3" s="19">
        <f>Pillar1_quarterly10[[#This Row],[HHI for Employed population by economic sector]]</f>
        <v>1</v>
      </c>
      <c r="I3" t="s">
        <v>38</v>
      </c>
      <c r="J3">
        <v>2</v>
      </c>
    </row>
    <row r="4" spans="1:12" x14ac:dyDescent="0.2">
      <c r="A4">
        <v>2024</v>
      </c>
      <c r="B4">
        <v>2</v>
      </c>
      <c r="C4">
        <f>POWER(Pillar1_quarterly1018[[#This Row],[A1. Financial]]^3*Pillar1_quarterly1018[[#This Row],[A2. Physical]]^2*Pillar1_quarterly1018[[#This Row],[A3. Human]]^4*Pillar1_quarterly1018[[#This Row],[A4. Social]],1/9)</f>
        <v>1.7864209674137739</v>
      </c>
      <c r="D4" s="14">
        <f>POWER(Pillar1_quarterly10[[#This Row],[GRDP per capital growth YoY]]*Pillar1_quarterly10[[#This Row],[Income per capital YoY]]*Pillar1_quarterly10[[#This Row],[Poverty rate YoY]],1/3)</f>
        <v>1.6172557235016083</v>
      </c>
      <c r="E4" s="19">
        <f>POWER(Pillar1_quarterly10[[#This Row],[% semi-permanent housing and below]]*Pillar1_quarterly10[[#This Row],[% of Agriculture land]],1/2)</f>
        <v>1.6546231527987818</v>
      </c>
      <c r="F4" s="19">
        <f>POWER(Pillar1_quarterly10[[#This Row],[Literacy rate of population aged 15+ ]]*Pillar1_quarterly10[[#This Row],[Rate of trained labor (%)]]*Pillar1_quarterly10[[#This Row],[Social security rate (%)]],1/3)</f>
        <v>1.9999999999999998</v>
      </c>
      <c r="G4" s="19">
        <f>(Pillar1_quarterly10[[#This Row],[Expenditure on human health, population and family planning / GRDP (%)]])</f>
        <v>1</v>
      </c>
      <c r="H4" s="19">
        <f>Pillar1_quarterly10[[#This Row],[HHI for Employed population by economic sector]]</f>
        <v>1</v>
      </c>
      <c r="I4" t="s">
        <v>38</v>
      </c>
      <c r="J4">
        <v>2</v>
      </c>
    </row>
    <row r="5" spans="1:12" x14ac:dyDescent="0.2">
      <c r="A5">
        <v>2024</v>
      </c>
      <c r="B5">
        <v>1</v>
      </c>
      <c r="C5">
        <f>POWER(Pillar1_quarterly1018[[#This Row],[A1. Financial]]^3*Pillar1_quarterly1018[[#This Row],[A2. Physical]]^2*Pillar1_quarterly1018[[#This Row],[A3. Human]]^4*Pillar1_quarterly1018[[#This Row],[A4. Social]],1/9)</f>
        <v>1.7864209674137739</v>
      </c>
      <c r="D5" s="14">
        <f>POWER(Pillar1_quarterly10[[#This Row],[GRDP per capital growth YoY]]*Pillar1_quarterly10[[#This Row],[Income per capital YoY]]*Pillar1_quarterly10[[#This Row],[Poverty rate YoY]],1/3)</f>
        <v>1.6172557235016083</v>
      </c>
      <c r="E5" s="19">
        <f>POWER(Pillar1_quarterly10[[#This Row],[% semi-permanent housing and below]]*Pillar1_quarterly10[[#This Row],[% of Agriculture land]],1/2)</f>
        <v>1.6546231527987818</v>
      </c>
      <c r="F5" s="19">
        <f>POWER(Pillar1_quarterly10[[#This Row],[Literacy rate of population aged 15+ ]]*Pillar1_quarterly10[[#This Row],[Rate of trained labor (%)]]*Pillar1_quarterly10[[#This Row],[Social security rate (%)]],1/3)</f>
        <v>1.9999999999999998</v>
      </c>
      <c r="G5" s="19">
        <f>(Pillar1_quarterly10[[#This Row],[Expenditure on human health, population and family planning / GRDP (%)]])</f>
        <v>1</v>
      </c>
      <c r="H5" s="19">
        <f>Pillar1_quarterly10[[#This Row],[HHI for Employed population by economic sector]]</f>
        <v>1</v>
      </c>
    </row>
    <row r="6" spans="1:12" x14ac:dyDescent="0.2">
      <c r="A6">
        <v>2023</v>
      </c>
      <c r="B6">
        <v>4</v>
      </c>
      <c r="C6">
        <f>POWER(Pillar1_quarterly1018[[#This Row],[A1. Financial]]^3*Pillar1_quarterly1018[[#This Row],[A2. Physical]]^2*Pillar1_quarterly1018[[#This Row],[A3. Human]]^4*Pillar1_quarterly1018[[#This Row],[A4. Social]],1/9)</f>
        <v>1.7275385373211487</v>
      </c>
      <c r="D6" s="14">
        <f>POWER(Pillar1_quarterly10[[#This Row],[GRDP per capital growth YoY]]*Pillar1_quarterly10[[#This Row],[Income per capital YoY]]*Pillar1_quarterly10[[#This Row],[Poverty rate YoY]],1/3)</f>
        <v>1.5250072248460471</v>
      </c>
      <c r="E6" s="19">
        <f>POWER(Pillar1_quarterly10[[#This Row],[% semi-permanent housing and below]]*Pillar1_quarterly10[[#This Row],[% of Agriculture land]],1/2)</f>
        <v>1.7126976771553517</v>
      </c>
      <c r="F6" s="19">
        <f>POWER(Pillar1_quarterly10[[#This Row],[Literacy rate of population aged 15+ ]]*Pillar1_quarterly10[[#This Row],[Rate of trained labor (%)]]*Pillar1_quarterly10[[#This Row],[Social security rate (%)]],1/3)</f>
        <v>1.8602442593929553</v>
      </c>
      <c r="G6" s="19">
        <f>(Pillar1_quarterly10[[#This Row],[Expenditure on human health, population and family planning / GRDP (%)]])</f>
        <v>1.1000000000000001</v>
      </c>
      <c r="H6" s="19">
        <f>Pillar1_quarterly10[[#This Row],[HHI for Employed population by economic sector]]</f>
        <v>1.0824449583544835</v>
      </c>
    </row>
    <row r="7" spans="1:12" x14ac:dyDescent="0.2">
      <c r="A7">
        <v>2023</v>
      </c>
      <c r="B7">
        <v>3</v>
      </c>
      <c r="C7">
        <f>POWER(Pillar1_quarterly1018[[#This Row],[A1. Financial]]^3*Pillar1_quarterly1018[[#This Row],[A2. Physical]]^2*Pillar1_quarterly1018[[#This Row],[A3. Human]]^4*Pillar1_quarterly1018[[#This Row],[A4. Social]],1/9)</f>
        <v>1.7275385373211487</v>
      </c>
      <c r="D7" s="14">
        <f>POWER(Pillar1_quarterly10[[#This Row],[GRDP per capital growth YoY]]*Pillar1_quarterly10[[#This Row],[Income per capital YoY]]*Pillar1_quarterly10[[#This Row],[Poverty rate YoY]],1/3)</f>
        <v>1.5250072248460471</v>
      </c>
      <c r="E7" s="19">
        <f>POWER(Pillar1_quarterly10[[#This Row],[% semi-permanent housing and below]]*Pillar1_quarterly10[[#This Row],[% of Agriculture land]],1/2)</f>
        <v>1.7126976771553517</v>
      </c>
      <c r="F7" s="19">
        <f>POWER(Pillar1_quarterly10[[#This Row],[Literacy rate of population aged 15+ ]]*Pillar1_quarterly10[[#This Row],[Rate of trained labor (%)]]*Pillar1_quarterly10[[#This Row],[Social security rate (%)]],1/3)</f>
        <v>1.8602442593929553</v>
      </c>
      <c r="G7" s="19">
        <f>(Pillar1_quarterly10[[#This Row],[Expenditure on human health, population and family planning / GRDP (%)]])</f>
        <v>1.1000000000000001</v>
      </c>
      <c r="H7" s="19">
        <f>Pillar1_quarterly10[[#This Row],[HHI for Employed population by economic sector]]</f>
        <v>1.0824449583544835</v>
      </c>
    </row>
    <row r="8" spans="1:12" x14ac:dyDescent="0.2">
      <c r="A8">
        <v>2023</v>
      </c>
      <c r="B8">
        <v>2</v>
      </c>
      <c r="C8">
        <f>POWER(Pillar1_quarterly1018[[#This Row],[A1. Financial]]^3*Pillar1_quarterly1018[[#This Row],[A2. Physical]]^2*Pillar1_quarterly1018[[#This Row],[A3. Human]]^4*Pillar1_quarterly1018[[#This Row],[A4. Social]],1/9)</f>
        <v>1.7275385373211487</v>
      </c>
      <c r="D8" s="14">
        <f>POWER(Pillar1_quarterly10[[#This Row],[GRDP per capital growth YoY]]*Pillar1_quarterly10[[#This Row],[Income per capital YoY]]*Pillar1_quarterly10[[#This Row],[Poverty rate YoY]],1/3)</f>
        <v>1.5250072248460471</v>
      </c>
      <c r="E8" s="19">
        <f>POWER(Pillar1_quarterly10[[#This Row],[% semi-permanent housing and below]]*Pillar1_quarterly10[[#This Row],[% of Agriculture land]],1/2)</f>
        <v>1.7126976771553517</v>
      </c>
      <c r="F8" s="19">
        <f>POWER(Pillar1_quarterly10[[#This Row],[Literacy rate of population aged 15+ ]]*Pillar1_quarterly10[[#This Row],[Rate of trained labor (%)]]*Pillar1_quarterly10[[#This Row],[Social security rate (%)]],1/3)</f>
        <v>1.8602442593929553</v>
      </c>
      <c r="G8" s="19">
        <f>(Pillar1_quarterly10[[#This Row],[Expenditure on human health, population and family planning / GRDP (%)]])</f>
        <v>1.1000000000000001</v>
      </c>
      <c r="H8" s="19">
        <f>Pillar1_quarterly10[[#This Row],[HHI for Employed population by economic sector]]</f>
        <v>1.0824449583544835</v>
      </c>
      <c r="I8" t="s">
        <v>35</v>
      </c>
      <c r="J8">
        <v>2</v>
      </c>
    </row>
    <row r="9" spans="1:12" x14ac:dyDescent="0.2">
      <c r="A9">
        <v>2023</v>
      </c>
      <c r="B9">
        <v>1</v>
      </c>
      <c r="C9">
        <f>POWER(Pillar1_quarterly1018[[#This Row],[A1. Financial]]^3*Pillar1_quarterly1018[[#This Row],[A2. Physical]]^2*Pillar1_quarterly1018[[#This Row],[A3. Human]]^4*Pillar1_quarterly1018[[#This Row],[A4. Social]],1/9)</f>
        <v>1.7275385373211487</v>
      </c>
      <c r="D9" s="14">
        <f>POWER(Pillar1_quarterly10[[#This Row],[GRDP per capital growth YoY]]*Pillar1_quarterly10[[#This Row],[Income per capital YoY]]*Pillar1_quarterly10[[#This Row],[Poverty rate YoY]],1/3)</f>
        <v>1.5250072248460471</v>
      </c>
      <c r="E9" s="19">
        <f>POWER(Pillar1_quarterly10[[#This Row],[% semi-permanent housing and below]]*Pillar1_quarterly10[[#This Row],[% of Agriculture land]],1/2)</f>
        <v>1.7126976771553517</v>
      </c>
      <c r="F9" s="19">
        <f>POWER(Pillar1_quarterly10[[#This Row],[Literacy rate of population aged 15+ ]]*Pillar1_quarterly10[[#This Row],[Rate of trained labor (%)]]*Pillar1_quarterly10[[#This Row],[Social security rate (%)]],1/3)</f>
        <v>1.8602442593929553</v>
      </c>
      <c r="G9" s="19">
        <f>(Pillar1_quarterly10[[#This Row],[Expenditure on human health, population and family planning / GRDP (%)]])</f>
        <v>1.1000000000000001</v>
      </c>
      <c r="H9" s="19">
        <f>Pillar1_quarterly10[[#This Row],[HHI for Employed population by economic sector]]</f>
        <v>1.0824449583544835</v>
      </c>
    </row>
    <row r="10" spans="1:12" x14ac:dyDescent="0.2">
      <c r="A10">
        <v>2022</v>
      </c>
      <c r="B10">
        <v>4</v>
      </c>
      <c r="C10">
        <f>POWER(Pillar1_quarterly1018[[#This Row],[A1. Financial]]^3*Pillar1_quarterly1018[[#This Row],[A2. Physical]]^2*Pillar1_quarterly1018[[#This Row],[A3. Human]]^4*Pillar1_quarterly1018[[#This Row],[A4. Social]],1/9)</f>
        <v>1.7422735539193155</v>
      </c>
      <c r="D10" s="14">
        <f>POWER(Pillar1_quarterly10[[#This Row],[GRDP per capital growth YoY]]*Pillar1_quarterly10[[#This Row],[Income per capital YoY]]*Pillar1_quarterly10[[#This Row],[Poverty rate YoY]],1/3)</f>
        <v>1.5840347333626594</v>
      </c>
      <c r="E10" s="19">
        <f>POWER(Pillar1_quarterly10[[#This Row],[% semi-permanent housing and below]]*Pillar1_quarterly10[[#This Row],[% of Agriculture land]],1/2)</f>
        <v>1.8257418583505536</v>
      </c>
      <c r="F10" s="19">
        <f>POWER(Pillar1_quarterly10[[#This Row],[Literacy rate of population aged 15+ ]]*Pillar1_quarterly10[[#This Row],[Rate of trained labor (%)]]*Pillar1_quarterly10[[#This Row],[Social security rate (%)]],1/3)</f>
        <v>1.8279678940640594</v>
      </c>
      <c r="G10" s="19">
        <f>(Pillar1_quarterly10[[#This Row],[Expenditure on human health, population and family planning / GRDP (%)]])</f>
        <v>1</v>
      </c>
      <c r="H10" s="19">
        <f>Pillar1_quarterly10[[#This Row],[HHI for Employed population by economic sector]]</f>
        <v>1.2114551801505347</v>
      </c>
    </row>
    <row r="11" spans="1:12" x14ac:dyDescent="0.2">
      <c r="A11">
        <v>2022</v>
      </c>
      <c r="B11">
        <v>3</v>
      </c>
      <c r="C11">
        <f>POWER(Pillar1_quarterly1018[[#This Row],[A1. Financial]]^3*Pillar1_quarterly1018[[#This Row],[A2. Physical]]^2*Pillar1_quarterly1018[[#This Row],[A3. Human]]^4*Pillar1_quarterly1018[[#This Row],[A4. Social]],1/9)</f>
        <v>1.7422735539193155</v>
      </c>
      <c r="D11" s="14">
        <f>POWER(Pillar1_quarterly10[[#This Row],[GRDP per capital growth YoY]]*Pillar1_quarterly10[[#This Row],[Income per capital YoY]]*Pillar1_quarterly10[[#This Row],[Poverty rate YoY]],1/3)</f>
        <v>1.5840347333626594</v>
      </c>
      <c r="E11" s="19">
        <f>POWER(Pillar1_quarterly10[[#This Row],[% semi-permanent housing and below]]*Pillar1_quarterly10[[#This Row],[% of Agriculture land]],1/2)</f>
        <v>1.8257418583505536</v>
      </c>
      <c r="F11" s="19">
        <f>POWER(Pillar1_quarterly10[[#This Row],[Literacy rate of population aged 15+ ]]*Pillar1_quarterly10[[#This Row],[Rate of trained labor (%)]]*Pillar1_quarterly10[[#This Row],[Social security rate (%)]],1/3)</f>
        <v>1.8279678940640594</v>
      </c>
      <c r="G11" s="19">
        <f>(Pillar1_quarterly10[[#This Row],[Expenditure on human health, population and family planning / GRDP (%)]])</f>
        <v>1</v>
      </c>
      <c r="H11" s="19">
        <f>Pillar1_quarterly10[[#This Row],[HHI for Employed population by economic sector]]</f>
        <v>1.2114551801505347</v>
      </c>
      <c r="I11" t="s">
        <v>53</v>
      </c>
      <c r="J11">
        <v>2</v>
      </c>
    </row>
    <row r="12" spans="1:12" x14ac:dyDescent="0.2">
      <c r="A12">
        <v>2022</v>
      </c>
      <c r="B12">
        <v>2</v>
      </c>
      <c r="C12">
        <f>POWER(Pillar1_quarterly1018[[#This Row],[A1. Financial]]^3*Pillar1_quarterly1018[[#This Row],[A2. Physical]]^2*Pillar1_quarterly1018[[#This Row],[A3. Human]]^4*Pillar1_quarterly1018[[#This Row],[A4. Social]],1/9)</f>
        <v>1.7422735539193155</v>
      </c>
      <c r="D12" s="14">
        <f>POWER(Pillar1_quarterly10[[#This Row],[GRDP per capital growth YoY]]*Pillar1_quarterly10[[#This Row],[Income per capital YoY]]*Pillar1_quarterly10[[#This Row],[Poverty rate YoY]],1/3)</f>
        <v>1.5840347333626594</v>
      </c>
      <c r="E12" s="19">
        <f>POWER(Pillar1_quarterly10[[#This Row],[% semi-permanent housing and below]]*Pillar1_quarterly10[[#This Row],[% of Agriculture land]],1/2)</f>
        <v>1.8257418583505536</v>
      </c>
      <c r="F12" s="19">
        <f>POWER(Pillar1_quarterly10[[#This Row],[Literacy rate of population aged 15+ ]]*Pillar1_quarterly10[[#This Row],[Rate of trained labor (%)]]*Pillar1_quarterly10[[#This Row],[Social security rate (%)]],1/3)</f>
        <v>1.8279678940640594</v>
      </c>
      <c r="G12" s="19">
        <f>(Pillar1_quarterly10[[#This Row],[Expenditure on human health, population and family planning / GRDP (%)]])</f>
        <v>1</v>
      </c>
      <c r="H12" s="19">
        <f>Pillar1_quarterly10[[#This Row],[HHI for Employed population by economic sector]]</f>
        <v>1.2114551801505347</v>
      </c>
      <c r="I12" t="s">
        <v>53</v>
      </c>
      <c r="J12">
        <v>2</v>
      </c>
    </row>
    <row r="13" spans="1:12" x14ac:dyDescent="0.2">
      <c r="A13">
        <v>2022</v>
      </c>
      <c r="B13">
        <v>1</v>
      </c>
      <c r="C13">
        <f>POWER(Pillar1_quarterly1018[[#This Row],[A1. Financial]]^3*Pillar1_quarterly1018[[#This Row],[A2. Physical]]^2*Pillar1_quarterly1018[[#This Row],[A3. Human]]^4*Pillar1_quarterly1018[[#This Row],[A4. Social]],1/9)</f>
        <v>1.7422735539193155</v>
      </c>
      <c r="D13" s="14">
        <f>POWER(Pillar1_quarterly10[[#This Row],[GRDP per capital growth YoY]]*Pillar1_quarterly10[[#This Row],[Income per capital YoY]]*Pillar1_quarterly10[[#This Row],[Poverty rate YoY]],1/3)</f>
        <v>1.5840347333626594</v>
      </c>
      <c r="E13" s="19">
        <f>POWER(Pillar1_quarterly10[[#This Row],[% semi-permanent housing and below]]*Pillar1_quarterly10[[#This Row],[% of Agriculture land]],1/2)</f>
        <v>1.8257418583505536</v>
      </c>
      <c r="F13" s="19">
        <f>POWER(Pillar1_quarterly10[[#This Row],[Literacy rate of population aged 15+ ]]*Pillar1_quarterly10[[#This Row],[Rate of trained labor (%)]]*Pillar1_quarterly10[[#This Row],[Social security rate (%)]],1/3)</f>
        <v>1.8279678940640594</v>
      </c>
      <c r="G13" s="19">
        <f>(Pillar1_quarterly10[[#This Row],[Expenditure on human health, population and family planning / GRDP (%)]])</f>
        <v>1</v>
      </c>
      <c r="H13" s="19">
        <f>Pillar1_quarterly10[[#This Row],[HHI for Employed population by economic sector]]</f>
        <v>1.2114551801505347</v>
      </c>
    </row>
    <row r="14" spans="1:12" x14ac:dyDescent="0.2">
      <c r="A14">
        <v>2021</v>
      </c>
      <c r="B14">
        <v>4</v>
      </c>
      <c r="C14">
        <f>POWER(Pillar1_quarterly1018[[#This Row],[A1. Financial]]^3*Pillar1_quarterly1018[[#This Row],[A2. Physical]]^2*Pillar1_quarterly1018[[#This Row],[A3. Human]]^4*Pillar1_quarterly1018[[#This Row],[A4. Social]],1/9)</f>
        <v>1.4915243762740873</v>
      </c>
      <c r="D14" s="14">
        <f>POWER(Pillar1_quarterly10[[#This Row],[GRDP per capital growth YoY]]*Pillar1_quarterly10[[#This Row],[Income per capital YoY]]*Pillar1_quarterly10[[#This Row],[Poverty rate YoY]],1/3)</f>
        <v>1.2533815636600862</v>
      </c>
      <c r="E14" s="19">
        <f>POWER(Pillar1_quarterly10[[#This Row],[% semi-permanent housing and below]]*Pillar1_quarterly10[[#This Row],[% of Agriculture land]],1/2)</f>
        <v>1.4686854792762942</v>
      </c>
      <c r="F14" s="19">
        <f>POWER(Pillar1_quarterly10[[#This Row],[Literacy rate of population aged 15+ ]]*Pillar1_quarterly10[[#This Row],[Rate of trained labor (%)]]*Pillar1_quarterly10[[#This Row],[Social security rate (%)]],1/3)</f>
        <v>1.6196229401365314</v>
      </c>
      <c r="G14" s="19">
        <f>(Pillar1_quarterly10[[#This Row],[Expenditure on human health, population and family planning / GRDP (%)]])</f>
        <v>1.25</v>
      </c>
      <c r="H14" s="19">
        <f>Pillar1_quarterly10[[#This Row],[HHI for Employed population by economic sector]]</f>
        <v>1.2622821366123267</v>
      </c>
    </row>
    <row r="15" spans="1:12" x14ac:dyDescent="0.2">
      <c r="A15">
        <v>2021</v>
      </c>
      <c r="B15">
        <v>3</v>
      </c>
      <c r="C15">
        <f>POWER(Pillar1_quarterly1018[[#This Row],[A1. Financial]]^3*Pillar1_quarterly1018[[#This Row],[A2. Physical]]^2*Pillar1_quarterly1018[[#This Row],[A3. Human]]^4*Pillar1_quarterly1018[[#This Row],[A4. Social]],1/9)</f>
        <v>1.4915243762740873</v>
      </c>
      <c r="D15" s="14">
        <f>POWER(Pillar1_quarterly10[[#This Row],[GRDP per capital growth YoY]]*Pillar1_quarterly10[[#This Row],[Income per capital YoY]]*Pillar1_quarterly10[[#This Row],[Poverty rate YoY]],1/3)</f>
        <v>1.2533815636600862</v>
      </c>
      <c r="E15" s="19">
        <f>POWER(Pillar1_quarterly10[[#This Row],[% semi-permanent housing and below]]*Pillar1_quarterly10[[#This Row],[% of Agriculture land]],1/2)</f>
        <v>1.4686854792762942</v>
      </c>
      <c r="F15" s="19">
        <f>POWER(Pillar1_quarterly10[[#This Row],[Literacy rate of population aged 15+ ]]*Pillar1_quarterly10[[#This Row],[Rate of trained labor (%)]]*Pillar1_quarterly10[[#This Row],[Social security rate (%)]],1/3)</f>
        <v>1.6196229401365314</v>
      </c>
      <c r="G15" s="19">
        <f>(Pillar1_quarterly10[[#This Row],[Expenditure on human health, population and family planning / GRDP (%)]])</f>
        <v>1.25</v>
      </c>
      <c r="H15" s="19">
        <f>Pillar1_quarterly10[[#This Row],[HHI for Employed population by economic sector]]</f>
        <v>1.2622821366123267</v>
      </c>
      <c r="I15" t="s">
        <v>53</v>
      </c>
      <c r="J15">
        <v>3</v>
      </c>
    </row>
    <row r="16" spans="1:12" x14ac:dyDescent="0.2">
      <c r="A16">
        <v>2021</v>
      </c>
      <c r="B16">
        <v>2</v>
      </c>
      <c r="C16">
        <f>POWER(Pillar1_quarterly1018[[#This Row],[A1. Financial]]^3*Pillar1_quarterly1018[[#This Row],[A2. Physical]]^2*Pillar1_quarterly1018[[#This Row],[A3. Human]]^4*Pillar1_quarterly1018[[#This Row],[A4. Social]],1/9)</f>
        <v>1.4915243762740873</v>
      </c>
      <c r="D16" s="14">
        <f>POWER(Pillar1_quarterly10[[#This Row],[GRDP per capital growth YoY]]*Pillar1_quarterly10[[#This Row],[Income per capital YoY]]*Pillar1_quarterly10[[#This Row],[Poverty rate YoY]],1/3)</f>
        <v>1.2533815636600862</v>
      </c>
      <c r="E16" s="19">
        <f>POWER(Pillar1_quarterly10[[#This Row],[% semi-permanent housing and below]]*Pillar1_quarterly10[[#This Row],[% of Agriculture land]],1/2)</f>
        <v>1.4686854792762942</v>
      </c>
      <c r="F16" s="19">
        <f>POWER(Pillar1_quarterly10[[#This Row],[Literacy rate of population aged 15+ ]]*Pillar1_quarterly10[[#This Row],[Rate of trained labor (%)]]*Pillar1_quarterly10[[#This Row],[Social security rate (%)]],1/3)</f>
        <v>1.6196229401365314</v>
      </c>
      <c r="G16" s="19">
        <f>(Pillar1_quarterly10[[#This Row],[Expenditure on human health, population and family planning / GRDP (%)]])</f>
        <v>1.25</v>
      </c>
      <c r="H16" s="19">
        <f>Pillar1_quarterly10[[#This Row],[HHI for Employed population by economic sector]]</f>
        <v>1.2622821366123267</v>
      </c>
      <c r="I16" t="s">
        <v>53</v>
      </c>
      <c r="J16">
        <v>2</v>
      </c>
    </row>
    <row r="17" spans="1:12" x14ac:dyDescent="0.2">
      <c r="A17">
        <v>2021</v>
      </c>
      <c r="B17">
        <v>1</v>
      </c>
      <c r="C17">
        <f>POWER(Pillar1_quarterly1018[[#This Row],[A1. Financial]]^3*Pillar1_quarterly1018[[#This Row],[A2. Physical]]^2*Pillar1_quarterly1018[[#This Row],[A3. Human]]^4*Pillar1_quarterly1018[[#This Row],[A4. Social]],1/9)</f>
        <v>1.4915243762740873</v>
      </c>
      <c r="D17" s="14">
        <f>POWER(Pillar1_quarterly10[[#This Row],[GRDP per capital growth YoY]]*Pillar1_quarterly10[[#This Row],[Income per capital YoY]]*Pillar1_quarterly10[[#This Row],[Poverty rate YoY]],1/3)</f>
        <v>1.2533815636600862</v>
      </c>
      <c r="E17" s="19">
        <f>POWER(Pillar1_quarterly10[[#This Row],[% semi-permanent housing and below]]*Pillar1_quarterly10[[#This Row],[% of Agriculture land]],1/2)</f>
        <v>1.4686854792762942</v>
      </c>
      <c r="F17" s="19">
        <f>POWER(Pillar1_quarterly10[[#This Row],[Literacy rate of population aged 15+ ]]*Pillar1_quarterly10[[#This Row],[Rate of trained labor (%)]]*Pillar1_quarterly10[[#This Row],[Social security rate (%)]],1/3)</f>
        <v>1.6196229401365314</v>
      </c>
      <c r="G17" s="19">
        <f>(Pillar1_quarterly10[[#This Row],[Expenditure on human health, population and family planning / GRDP (%)]])</f>
        <v>1.25</v>
      </c>
      <c r="H17" s="19">
        <f>Pillar1_quarterly10[[#This Row],[HHI for Employed population by economic sector]]</f>
        <v>1.2622821366123267</v>
      </c>
      <c r="I17" t="s">
        <v>53</v>
      </c>
      <c r="J17">
        <v>2</v>
      </c>
    </row>
    <row r="18" spans="1:12" x14ac:dyDescent="0.2">
      <c r="A18">
        <v>2020</v>
      </c>
      <c r="B18">
        <v>4</v>
      </c>
      <c r="C18">
        <f>POWER(Pillar1_quarterly1018[[#This Row],[A1. Financial]]^3*Pillar1_quarterly1018[[#This Row],[A2. Physical]]^2*Pillar1_quarterly1018[[#This Row],[A3. Human]]^4*Pillar1_quarterly1018[[#This Row],[A4. Social]],1/9)</f>
        <v>1.4256287971018333</v>
      </c>
      <c r="D18" s="14">
        <f>POWER(Pillar1_quarterly10[[#This Row],[GRDP per capital growth YoY]]*Pillar1_quarterly10[[#This Row],[Income per capital YoY]]*Pillar1_quarterly10[[#This Row],[Poverty rate YoY]],1/3)</f>
        <v>1.2252916479554015</v>
      </c>
      <c r="E18" s="19">
        <f>POWER(Pillar1_quarterly10[[#This Row],[% semi-permanent housing and below]]*Pillar1_quarterly10[[#This Row],[% of Agriculture land]],1/2)</f>
        <v>1.3199326582148891</v>
      </c>
      <c r="F18" s="19">
        <f>POWER(Pillar1_quarterly10[[#This Row],[Literacy rate of population aged 15+ ]]*Pillar1_quarterly10[[#This Row],[Rate of trained labor (%)]]*Pillar1_quarterly10[[#This Row],[Social security rate (%)]],1/3)</f>
        <v>1.5697537822540033</v>
      </c>
      <c r="G18" s="19">
        <f>(Pillar1_quarterly10[[#This Row],[Expenditure on human health, population and family planning / GRDP (%)]])</f>
        <v>1.25</v>
      </c>
      <c r="H18" s="19">
        <f>Pillar1_quarterly10[[#This Row],[HHI for Employed population by economic sector]]</f>
        <v>1.34212620878535</v>
      </c>
      <c r="I18" t="s">
        <v>38</v>
      </c>
      <c r="J18">
        <v>1</v>
      </c>
    </row>
    <row r="19" spans="1:12" x14ac:dyDescent="0.2">
      <c r="A19">
        <v>2020</v>
      </c>
      <c r="B19">
        <v>3</v>
      </c>
      <c r="C19">
        <f>POWER(Pillar1_quarterly1018[[#This Row],[A1. Financial]]^3*Pillar1_quarterly1018[[#This Row],[A2. Physical]]^2*Pillar1_quarterly1018[[#This Row],[A3. Human]]^4*Pillar1_quarterly1018[[#This Row],[A4. Social]],1/9)</f>
        <v>1.4256287971018333</v>
      </c>
      <c r="D19" s="14">
        <f>POWER(Pillar1_quarterly10[[#This Row],[GRDP per capital growth YoY]]*Pillar1_quarterly10[[#This Row],[Income per capital YoY]]*Pillar1_quarterly10[[#This Row],[Poverty rate YoY]],1/3)</f>
        <v>1.2252916479554015</v>
      </c>
      <c r="E19" s="19">
        <f>POWER(Pillar1_quarterly10[[#This Row],[% semi-permanent housing and below]]*Pillar1_quarterly10[[#This Row],[% of Agriculture land]],1/2)</f>
        <v>1.3199326582148891</v>
      </c>
      <c r="F19" s="19">
        <f>POWER(Pillar1_quarterly10[[#This Row],[Literacy rate of population aged 15+ ]]*Pillar1_quarterly10[[#This Row],[Rate of trained labor (%)]]*Pillar1_quarterly10[[#This Row],[Social security rate (%)]],1/3)</f>
        <v>1.5697537822540033</v>
      </c>
      <c r="G19" s="19">
        <f>(Pillar1_quarterly10[[#This Row],[Expenditure on human health, population and family planning / GRDP (%)]])</f>
        <v>1.25</v>
      </c>
      <c r="H19" s="19">
        <f>Pillar1_quarterly10[[#This Row],[HHI for Employed population by economic sector]]</f>
        <v>1.34212620878535</v>
      </c>
      <c r="I19" t="s">
        <v>35</v>
      </c>
      <c r="J19">
        <v>1</v>
      </c>
    </row>
    <row r="20" spans="1:12" x14ac:dyDescent="0.2">
      <c r="A20">
        <v>2020</v>
      </c>
      <c r="B20">
        <v>2</v>
      </c>
      <c r="C20">
        <f>POWER(Pillar1_quarterly1018[[#This Row],[A1. Financial]]^3*Pillar1_quarterly1018[[#This Row],[A2. Physical]]^2*Pillar1_quarterly1018[[#This Row],[A3. Human]]^4*Pillar1_quarterly1018[[#This Row],[A4. Social]],1/9)</f>
        <v>1.4256287971018333</v>
      </c>
      <c r="D20" s="14">
        <f>POWER(Pillar1_quarterly10[[#This Row],[GRDP per capital growth YoY]]*Pillar1_quarterly10[[#This Row],[Income per capital YoY]]*Pillar1_quarterly10[[#This Row],[Poverty rate YoY]],1/3)</f>
        <v>1.2252916479554015</v>
      </c>
      <c r="E20" s="19">
        <f>POWER(Pillar1_quarterly10[[#This Row],[% semi-permanent housing and below]]*Pillar1_quarterly10[[#This Row],[% of Agriculture land]],1/2)</f>
        <v>1.3199326582148891</v>
      </c>
      <c r="F20" s="19">
        <f>POWER(Pillar1_quarterly10[[#This Row],[Literacy rate of population aged 15+ ]]*Pillar1_quarterly10[[#This Row],[Rate of trained labor (%)]]*Pillar1_quarterly10[[#This Row],[Social security rate (%)]],1/3)</f>
        <v>1.5697537822540033</v>
      </c>
      <c r="G20" s="19">
        <f>(Pillar1_quarterly10[[#This Row],[Expenditure on human health, population and family planning / GRDP (%)]])</f>
        <v>1.25</v>
      </c>
      <c r="H20" s="19">
        <f>Pillar1_quarterly10[[#This Row],[HHI for Employed population by economic sector]]</f>
        <v>1.34212620878535</v>
      </c>
      <c r="I20" t="s">
        <v>35</v>
      </c>
      <c r="J20">
        <v>2</v>
      </c>
    </row>
    <row r="21" spans="1:12" x14ac:dyDescent="0.2">
      <c r="A21">
        <v>2020</v>
      </c>
      <c r="B21">
        <v>1</v>
      </c>
      <c r="C21">
        <f>POWER(Pillar1_quarterly1018[[#This Row],[A1. Financial]]^3*Pillar1_quarterly1018[[#This Row],[A2. Physical]]^2*Pillar1_quarterly1018[[#This Row],[A3. Human]]^4*Pillar1_quarterly1018[[#This Row],[A4. Social]],1/9)</f>
        <v>1.4256287971018333</v>
      </c>
      <c r="D21" s="14">
        <f>POWER(Pillar1_quarterly10[[#This Row],[GRDP per capital growth YoY]]*Pillar1_quarterly10[[#This Row],[Income per capital YoY]]*Pillar1_quarterly10[[#This Row],[Poverty rate YoY]],1/3)</f>
        <v>1.2252916479554015</v>
      </c>
      <c r="E21" s="19">
        <f>POWER(Pillar1_quarterly10[[#This Row],[% semi-permanent housing and below]]*Pillar1_quarterly10[[#This Row],[% of Agriculture land]],1/2)</f>
        <v>1.3199326582148891</v>
      </c>
      <c r="F21" s="19">
        <f>POWER(Pillar1_quarterly10[[#This Row],[Literacy rate of population aged 15+ ]]*Pillar1_quarterly10[[#This Row],[Rate of trained labor (%)]]*Pillar1_quarterly10[[#This Row],[Social security rate (%)]],1/3)</f>
        <v>1.5697537822540033</v>
      </c>
      <c r="G21" s="19">
        <f>(Pillar1_quarterly10[[#This Row],[Expenditure on human health, population and family planning / GRDP (%)]])</f>
        <v>1.25</v>
      </c>
      <c r="H21" s="19">
        <f>Pillar1_quarterly10[[#This Row],[HHI for Employed population by economic sector]]</f>
        <v>1.34212620878535</v>
      </c>
    </row>
    <row r="22" spans="1:12" x14ac:dyDescent="0.2">
      <c r="A22">
        <v>2019</v>
      </c>
      <c r="B22">
        <v>4</v>
      </c>
      <c r="C22">
        <f>POWER(Pillar1_quarterly1018[[#This Row],[A1. Financial]]^3*Pillar1_quarterly1018[[#This Row],[A2. Physical]]^2*Pillar1_quarterly1018[[#This Row],[A3. Human]]^4*Pillar1_quarterly1018[[#This Row],[A4. Social]],1/9)</f>
        <v>1.5178238936029254</v>
      </c>
      <c r="D22" s="14">
        <f>POWER(Pillar1_quarterly10[[#This Row],[GRDP per capital growth YoY]]*Pillar1_quarterly10[[#This Row],[Income per capital YoY]]*Pillar1_quarterly10[[#This Row],[Poverty rate YoY]],1/3)</f>
        <v>1.4548723304954516</v>
      </c>
      <c r="E22" s="19">
        <f>POWER(Pillar1_quarterly10[[#This Row],[% semi-permanent housing and below]]*Pillar1_quarterly10[[#This Row],[% of Agriculture land]],1/2)</f>
        <v>1.1832159566199236</v>
      </c>
      <c r="F22" s="19">
        <f>POWER(Pillar1_quarterly10[[#This Row],[Literacy rate of population aged 15+ ]]*Pillar1_quarterly10[[#This Row],[Rate of trained labor (%)]]*Pillar1_quarterly10[[#This Row],[Social security rate (%)]],1/3)</f>
        <v>1.6463190457968664</v>
      </c>
      <c r="G22" s="19">
        <f>(Pillar1_quarterly10[[#This Row],[Expenditure on human health, population and family planning / GRDP (%)]])</f>
        <v>1.35</v>
      </c>
      <c r="H22" s="19">
        <f>Pillar1_quarterly10[[#This Row],[HHI for Employed population by economic sector]]</f>
        <v>1.3282130345134415</v>
      </c>
    </row>
    <row r="23" spans="1:12" x14ac:dyDescent="0.2">
      <c r="A23">
        <v>2019</v>
      </c>
      <c r="B23">
        <v>3</v>
      </c>
      <c r="C23">
        <f>POWER(Pillar1_quarterly1018[[#This Row],[A1. Financial]]^3*Pillar1_quarterly1018[[#This Row],[A2. Physical]]^2*Pillar1_quarterly1018[[#This Row],[A3. Human]]^4*Pillar1_quarterly1018[[#This Row],[A4. Social]],1/9)</f>
        <v>1.5178238936029254</v>
      </c>
      <c r="D23" s="14">
        <f>POWER(Pillar1_quarterly10[[#This Row],[GRDP per capital growth YoY]]*Pillar1_quarterly10[[#This Row],[Income per capital YoY]]*Pillar1_quarterly10[[#This Row],[Poverty rate YoY]],1/3)</f>
        <v>1.4548723304954516</v>
      </c>
      <c r="E23" s="19">
        <f>POWER(Pillar1_quarterly10[[#This Row],[% semi-permanent housing and below]]*Pillar1_quarterly10[[#This Row],[% of Agriculture land]],1/2)</f>
        <v>1.1832159566199236</v>
      </c>
      <c r="F23" s="19">
        <f>POWER(Pillar1_quarterly10[[#This Row],[Literacy rate of population aged 15+ ]]*Pillar1_quarterly10[[#This Row],[Rate of trained labor (%)]]*Pillar1_quarterly10[[#This Row],[Social security rate (%)]],1/3)</f>
        <v>1.6463190457968664</v>
      </c>
      <c r="G23" s="19">
        <f>(Pillar1_quarterly10[[#This Row],[Expenditure on human health, population and family planning / GRDP (%)]])</f>
        <v>1.35</v>
      </c>
      <c r="H23" s="19">
        <f>Pillar1_quarterly10[[#This Row],[HHI for Employed population by economic sector]]</f>
        <v>1.3282130345134415</v>
      </c>
      <c r="I23" t="s">
        <v>38</v>
      </c>
      <c r="J23">
        <v>1</v>
      </c>
      <c r="K23" t="s">
        <v>38</v>
      </c>
      <c r="L23">
        <v>1</v>
      </c>
    </row>
    <row r="24" spans="1:12" x14ac:dyDescent="0.2">
      <c r="A24">
        <v>2019</v>
      </c>
      <c r="B24">
        <v>2</v>
      </c>
      <c r="C24">
        <f>POWER(Pillar1_quarterly1018[[#This Row],[A1. Financial]]^3*Pillar1_quarterly1018[[#This Row],[A2. Physical]]^2*Pillar1_quarterly1018[[#This Row],[A3. Human]]^4*Pillar1_quarterly1018[[#This Row],[A4. Social]],1/9)</f>
        <v>1.5178238936029254</v>
      </c>
      <c r="D24" s="14">
        <f>POWER(Pillar1_quarterly10[[#This Row],[GRDP per capital growth YoY]]*Pillar1_quarterly10[[#This Row],[Income per capital YoY]]*Pillar1_quarterly10[[#This Row],[Poverty rate YoY]],1/3)</f>
        <v>1.4548723304954516</v>
      </c>
      <c r="E24" s="19">
        <f>POWER(Pillar1_quarterly10[[#This Row],[% semi-permanent housing and below]]*Pillar1_quarterly10[[#This Row],[% of Agriculture land]],1/2)</f>
        <v>1.1832159566199236</v>
      </c>
      <c r="F24" s="19">
        <f>POWER(Pillar1_quarterly10[[#This Row],[Literacy rate of population aged 15+ ]]*Pillar1_quarterly10[[#This Row],[Rate of trained labor (%)]]*Pillar1_quarterly10[[#This Row],[Social security rate (%)]],1/3)</f>
        <v>1.6463190457968664</v>
      </c>
      <c r="G24" s="19">
        <f>(Pillar1_quarterly10[[#This Row],[Expenditure on human health, population and family planning / GRDP (%)]])</f>
        <v>1.35</v>
      </c>
      <c r="H24" s="19">
        <f>Pillar1_quarterly10[[#This Row],[HHI for Employed population by economic sector]]</f>
        <v>1.3282130345134415</v>
      </c>
      <c r="I24" t="s">
        <v>38</v>
      </c>
      <c r="J24">
        <v>2</v>
      </c>
    </row>
    <row r="25" spans="1:12" x14ac:dyDescent="0.2">
      <c r="A25">
        <v>2019</v>
      </c>
      <c r="B25">
        <v>1</v>
      </c>
      <c r="C25">
        <f>POWER(Pillar1_quarterly1018[[#This Row],[A1. Financial]]^3*Pillar1_quarterly1018[[#This Row],[A2. Physical]]^2*Pillar1_quarterly1018[[#This Row],[A3. Human]]^4*Pillar1_quarterly1018[[#This Row],[A4. Social]],1/9)</f>
        <v>1.5178238936029254</v>
      </c>
      <c r="D25" s="14">
        <f>POWER(Pillar1_quarterly10[[#This Row],[GRDP per capital growth YoY]]*Pillar1_quarterly10[[#This Row],[Income per capital YoY]]*Pillar1_quarterly10[[#This Row],[Poverty rate YoY]],1/3)</f>
        <v>1.4548723304954516</v>
      </c>
      <c r="E25" s="19">
        <f>POWER(Pillar1_quarterly10[[#This Row],[% semi-permanent housing and below]]*Pillar1_quarterly10[[#This Row],[% of Agriculture land]],1/2)</f>
        <v>1.1832159566199236</v>
      </c>
      <c r="F25" s="19">
        <f>POWER(Pillar1_quarterly10[[#This Row],[Literacy rate of population aged 15+ ]]*Pillar1_quarterly10[[#This Row],[Rate of trained labor (%)]]*Pillar1_quarterly10[[#This Row],[Social security rate (%)]],1/3)</f>
        <v>1.6463190457968664</v>
      </c>
      <c r="G25" s="19">
        <f>(Pillar1_quarterly10[[#This Row],[Expenditure on human health, population and family planning / GRDP (%)]])</f>
        <v>1.35</v>
      </c>
      <c r="H25" s="19">
        <f>Pillar1_quarterly10[[#This Row],[HHI for Employed population by economic sector]]</f>
        <v>1.3282130345134415</v>
      </c>
    </row>
    <row r="26" spans="1:12" x14ac:dyDescent="0.2">
      <c r="A26">
        <v>2018</v>
      </c>
      <c r="B26">
        <v>4</v>
      </c>
      <c r="C26">
        <f>POWER(Pillar1_quarterly1018[[#This Row],[A1. Financial]]^3*Pillar1_quarterly1018[[#This Row],[A2. Physical]]^2*Pillar1_quarterly1018[[#This Row],[A3. Human]]^4*Pillar1_quarterly1018[[#This Row],[A4. Social]],1/9)</f>
        <v>1.4400897992728519</v>
      </c>
      <c r="D26" s="14">
        <f>POWER(Pillar1_quarterly10[[#This Row],[GRDP per capital growth YoY]]*Pillar1_quarterly10[[#This Row],[Income per capital YoY]]*Pillar1_quarterly10[[#This Row],[Poverty rate YoY]],1/3)</f>
        <v>1.5572054297719731</v>
      </c>
      <c r="E26" s="19">
        <f>POWER(Pillar1_quarterly10[[#This Row],[% semi-permanent housing and below]]*Pillar1_quarterly10[[#This Row],[% of Agriculture land]],1/2)</f>
        <v>1.2110601416389974</v>
      </c>
      <c r="F26" s="19">
        <f>POWER(Pillar1_quarterly10[[#This Row],[Literacy rate of population aged 15+ ]]*Pillar1_quarterly10[[#This Row],[Rate of trained labor (%)]]*Pillar1_quarterly10[[#This Row],[Social security rate (%)]],1/3)</f>
        <v>1.3495601744555532</v>
      </c>
      <c r="G26" s="19">
        <f>(Pillar1_quarterly10[[#This Row],[Expenditure on human health, population and family planning / GRDP (%)]])</f>
        <v>1.45</v>
      </c>
      <c r="H26" s="19">
        <f>Pillar1_quarterly10[[#This Row],[HHI for Employed population by economic sector]]</f>
        <v>1.5695627377617263</v>
      </c>
    </row>
    <row r="27" spans="1:12" x14ac:dyDescent="0.2">
      <c r="A27">
        <v>2018</v>
      </c>
      <c r="B27">
        <v>3</v>
      </c>
      <c r="C27">
        <f>POWER(Pillar1_quarterly1018[[#This Row],[A1. Financial]]^3*Pillar1_quarterly1018[[#This Row],[A2. Physical]]^2*Pillar1_quarterly1018[[#This Row],[A3. Human]]^4*Pillar1_quarterly1018[[#This Row],[A4. Social]],1/9)</f>
        <v>1.4400897992728519</v>
      </c>
      <c r="D27" s="14">
        <f>POWER(Pillar1_quarterly10[[#This Row],[GRDP per capital growth YoY]]*Pillar1_quarterly10[[#This Row],[Income per capital YoY]]*Pillar1_quarterly10[[#This Row],[Poverty rate YoY]],1/3)</f>
        <v>1.5572054297719731</v>
      </c>
      <c r="E27" s="19">
        <f>POWER(Pillar1_quarterly10[[#This Row],[% semi-permanent housing and below]]*Pillar1_quarterly10[[#This Row],[% of Agriculture land]],1/2)</f>
        <v>1.2110601416389974</v>
      </c>
      <c r="F27" s="19">
        <f>POWER(Pillar1_quarterly10[[#This Row],[Literacy rate of population aged 15+ ]]*Pillar1_quarterly10[[#This Row],[Rate of trained labor (%)]]*Pillar1_quarterly10[[#This Row],[Social security rate (%)]],1/3)</f>
        <v>1.3495601744555532</v>
      </c>
      <c r="G27" s="19">
        <f>(Pillar1_quarterly10[[#This Row],[Expenditure on human health, population and family planning / GRDP (%)]])</f>
        <v>1.45</v>
      </c>
      <c r="H27" s="19">
        <f>Pillar1_quarterly10[[#This Row],[HHI for Employed population by economic sector]]</f>
        <v>1.5695627377617263</v>
      </c>
      <c r="I27" t="s">
        <v>53</v>
      </c>
      <c r="J27">
        <v>2</v>
      </c>
    </row>
    <row r="28" spans="1:12" x14ac:dyDescent="0.2">
      <c r="A28">
        <v>2018</v>
      </c>
      <c r="B28">
        <v>2</v>
      </c>
      <c r="C28">
        <f>POWER(Pillar1_quarterly1018[[#This Row],[A1. Financial]]^3*Pillar1_quarterly1018[[#This Row],[A2. Physical]]^2*Pillar1_quarterly1018[[#This Row],[A3. Human]]^4*Pillar1_quarterly1018[[#This Row],[A4. Social]],1/9)</f>
        <v>1.4400897992728519</v>
      </c>
      <c r="D28" s="14">
        <f>POWER(Pillar1_quarterly10[[#This Row],[GRDP per capital growth YoY]]*Pillar1_quarterly10[[#This Row],[Income per capital YoY]]*Pillar1_quarterly10[[#This Row],[Poverty rate YoY]],1/3)</f>
        <v>1.5572054297719731</v>
      </c>
      <c r="E28" s="19">
        <f>POWER(Pillar1_quarterly10[[#This Row],[% semi-permanent housing and below]]*Pillar1_quarterly10[[#This Row],[% of Agriculture land]],1/2)</f>
        <v>1.2110601416389974</v>
      </c>
      <c r="F28" s="19">
        <f>POWER(Pillar1_quarterly10[[#This Row],[Literacy rate of population aged 15+ ]]*Pillar1_quarterly10[[#This Row],[Rate of trained labor (%)]]*Pillar1_quarterly10[[#This Row],[Social security rate (%)]],1/3)</f>
        <v>1.3495601744555532</v>
      </c>
      <c r="G28" s="19">
        <f>(Pillar1_quarterly10[[#This Row],[Expenditure on human health, population and family planning / GRDP (%)]])</f>
        <v>1.45</v>
      </c>
      <c r="H28" s="19">
        <f>Pillar1_quarterly10[[#This Row],[HHI for Employed population by economic sector]]</f>
        <v>1.5695627377617263</v>
      </c>
    </row>
    <row r="29" spans="1:12" x14ac:dyDescent="0.2">
      <c r="A29">
        <v>2018</v>
      </c>
      <c r="B29">
        <v>1</v>
      </c>
      <c r="C29">
        <f>POWER(Pillar1_quarterly1018[[#This Row],[A1. Financial]]^3*Pillar1_quarterly1018[[#This Row],[A2. Physical]]^2*Pillar1_quarterly1018[[#This Row],[A3. Human]]^4*Pillar1_quarterly1018[[#This Row],[A4. Social]],1/9)</f>
        <v>1.4400897992728519</v>
      </c>
      <c r="D29" s="14">
        <f>POWER(Pillar1_quarterly10[[#This Row],[GRDP per capital growth YoY]]*Pillar1_quarterly10[[#This Row],[Income per capital YoY]]*Pillar1_quarterly10[[#This Row],[Poverty rate YoY]],1/3)</f>
        <v>1.5572054297719731</v>
      </c>
      <c r="E29" s="19">
        <f>POWER(Pillar1_quarterly10[[#This Row],[% semi-permanent housing and below]]*Pillar1_quarterly10[[#This Row],[% of Agriculture land]],1/2)</f>
        <v>1.2110601416389974</v>
      </c>
      <c r="F29" s="19">
        <f>POWER(Pillar1_quarterly10[[#This Row],[Literacy rate of population aged 15+ ]]*Pillar1_quarterly10[[#This Row],[Rate of trained labor (%)]]*Pillar1_quarterly10[[#This Row],[Social security rate (%)]],1/3)</f>
        <v>1.3495601744555532</v>
      </c>
      <c r="G29" s="19">
        <f>(Pillar1_quarterly10[[#This Row],[Expenditure on human health, population and family planning / GRDP (%)]])</f>
        <v>1.45</v>
      </c>
      <c r="H29" s="19">
        <f>Pillar1_quarterly10[[#This Row],[HHI for Employed population by economic sector]]</f>
        <v>1.5695627377617263</v>
      </c>
      <c r="I29" t="s">
        <v>35</v>
      </c>
      <c r="J29">
        <v>2</v>
      </c>
    </row>
    <row r="30" spans="1:12" x14ac:dyDescent="0.2">
      <c r="A30">
        <v>2017</v>
      </c>
      <c r="B30">
        <v>4</v>
      </c>
      <c r="C30">
        <f>POWER(Pillar1_quarterly1018[[#This Row],[A1. Financial]]^3*Pillar1_quarterly1018[[#This Row],[A2. Physical]]^2*Pillar1_quarterly1018[[#This Row],[A3. Human]]^4*Pillar1_quarterly1018[[#This Row],[A4. Social]],1/9)</f>
        <v>1.4854498416646085</v>
      </c>
      <c r="D30" s="14">
        <f>POWER(Pillar1_quarterly10[[#This Row],[GRDP per capital growth YoY]]*Pillar1_quarterly10[[#This Row],[Income per capital YoY]]*Pillar1_quarterly10[[#This Row],[Poverty rate YoY]],1/3)</f>
        <v>1.4176036012980449</v>
      </c>
      <c r="E30" s="19">
        <f>POWER(Pillar1_quarterly10[[#This Row],[% semi-permanent housing and below]]*Pillar1_quarterly10[[#This Row],[% of Agriculture land]],1/2)</f>
        <v>1.7213259316477407</v>
      </c>
      <c r="F30" s="19">
        <f>POWER(Pillar1_quarterly10[[#This Row],[Literacy rate of population aged 15+ ]]*Pillar1_quarterly10[[#This Row],[Rate of trained labor (%)]]*Pillar1_quarterly10[[#This Row],[Social security rate (%)]],1/3)</f>
        <v>1.3023892997019271</v>
      </c>
      <c r="G30" s="19">
        <f>(Pillar1_quarterly10[[#This Row],[Expenditure on human health, population and family planning / GRDP (%)]])</f>
        <v>1.45</v>
      </c>
      <c r="H30" s="19">
        <f>Pillar1_quarterly10[[#This Row],[HHI for Employed population by economic sector]]</f>
        <v>1.8129179436077605</v>
      </c>
    </row>
    <row r="31" spans="1:12" x14ac:dyDescent="0.2">
      <c r="A31">
        <v>2017</v>
      </c>
      <c r="B31">
        <v>3</v>
      </c>
      <c r="C31">
        <f>POWER(Pillar1_quarterly1018[[#This Row],[A1. Financial]]^3*Pillar1_quarterly1018[[#This Row],[A2. Physical]]^2*Pillar1_quarterly1018[[#This Row],[A3. Human]]^4*Pillar1_quarterly1018[[#This Row],[A4. Social]],1/9)</f>
        <v>1.4854498416646085</v>
      </c>
      <c r="D31" s="14">
        <f>POWER(Pillar1_quarterly10[[#This Row],[GRDP per capital growth YoY]]*Pillar1_quarterly10[[#This Row],[Income per capital YoY]]*Pillar1_quarterly10[[#This Row],[Poverty rate YoY]],1/3)</f>
        <v>1.4176036012980449</v>
      </c>
      <c r="E31" s="19">
        <f>POWER(Pillar1_quarterly10[[#This Row],[% semi-permanent housing and below]]*Pillar1_quarterly10[[#This Row],[% of Agriculture land]],1/2)</f>
        <v>1.7213259316477407</v>
      </c>
      <c r="F31" s="19">
        <f>POWER(Pillar1_quarterly10[[#This Row],[Literacy rate of population aged 15+ ]]*Pillar1_quarterly10[[#This Row],[Rate of trained labor (%)]]*Pillar1_quarterly10[[#This Row],[Social security rate (%)]],1/3)</f>
        <v>1.3023892997019271</v>
      </c>
      <c r="G31" s="19">
        <f>(Pillar1_quarterly10[[#This Row],[Expenditure on human health, population and family planning / GRDP (%)]])</f>
        <v>1.45</v>
      </c>
      <c r="H31" s="19">
        <f>Pillar1_quarterly10[[#This Row],[HHI for Employed population by economic sector]]</f>
        <v>1.8129179436077605</v>
      </c>
    </row>
    <row r="32" spans="1:12" x14ac:dyDescent="0.2">
      <c r="A32">
        <v>2017</v>
      </c>
      <c r="B32">
        <v>2</v>
      </c>
      <c r="C32">
        <f>POWER(Pillar1_quarterly1018[[#This Row],[A1. Financial]]^3*Pillar1_quarterly1018[[#This Row],[A2. Physical]]^2*Pillar1_quarterly1018[[#This Row],[A3. Human]]^4*Pillar1_quarterly1018[[#This Row],[A4. Social]],1/9)</f>
        <v>1.4854498416646085</v>
      </c>
      <c r="D32" s="14">
        <f>POWER(Pillar1_quarterly10[[#This Row],[GRDP per capital growth YoY]]*Pillar1_quarterly10[[#This Row],[Income per capital YoY]]*Pillar1_quarterly10[[#This Row],[Poverty rate YoY]],1/3)</f>
        <v>1.4176036012980449</v>
      </c>
      <c r="E32" s="19">
        <f>POWER(Pillar1_quarterly10[[#This Row],[% semi-permanent housing and below]]*Pillar1_quarterly10[[#This Row],[% of Agriculture land]],1/2)</f>
        <v>1.7213259316477407</v>
      </c>
      <c r="F32" s="19">
        <f>POWER(Pillar1_quarterly10[[#This Row],[Literacy rate of population aged 15+ ]]*Pillar1_quarterly10[[#This Row],[Rate of trained labor (%)]]*Pillar1_quarterly10[[#This Row],[Social security rate (%)]],1/3)</f>
        <v>1.3023892997019271</v>
      </c>
      <c r="G32" s="19">
        <f>(Pillar1_quarterly10[[#This Row],[Expenditure on human health, population and family planning / GRDP (%)]])</f>
        <v>1.45</v>
      </c>
      <c r="H32" s="19">
        <f>Pillar1_quarterly10[[#This Row],[HHI for Employed population by economic sector]]</f>
        <v>1.8129179436077605</v>
      </c>
    </row>
    <row r="33" spans="1:12" x14ac:dyDescent="0.2">
      <c r="A33">
        <v>2017</v>
      </c>
      <c r="B33">
        <v>1</v>
      </c>
      <c r="C33">
        <f>POWER(Pillar1_quarterly1018[[#This Row],[A1. Financial]]^3*Pillar1_quarterly1018[[#This Row],[A2. Physical]]^2*Pillar1_quarterly1018[[#This Row],[A3. Human]]^4*Pillar1_quarterly1018[[#This Row],[A4. Social]],1/9)</f>
        <v>1.4854498416646085</v>
      </c>
      <c r="D33" s="14">
        <f>POWER(Pillar1_quarterly10[[#This Row],[GRDP per capital growth YoY]]*Pillar1_quarterly10[[#This Row],[Income per capital YoY]]*Pillar1_quarterly10[[#This Row],[Poverty rate YoY]],1/3)</f>
        <v>1.4176036012980449</v>
      </c>
      <c r="E33" s="19">
        <f>POWER(Pillar1_quarterly10[[#This Row],[% semi-permanent housing and below]]*Pillar1_quarterly10[[#This Row],[% of Agriculture land]],1/2)</f>
        <v>1.7213259316477407</v>
      </c>
      <c r="F33" s="19">
        <f>POWER(Pillar1_quarterly10[[#This Row],[Literacy rate of population aged 15+ ]]*Pillar1_quarterly10[[#This Row],[Rate of trained labor (%)]]*Pillar1_quarterly10[[#This Row],[Social security rate (%)]],1/3)</f>
        <v>1.3023892997019271</v>
      </c>
      <c r="G33" s="19">
        <f>(Pillar1_quarterly10[[#This Row],[Expenditure on human health, population and family planning / GRDP (%)]])</f>
        <v>1.45</v>
      </c>
      <c r="H33" s="19">
        <f>Pillar1_quarterly10[[#This Row],[HHI for Employed population by economic sector]]</f>
        <v>1.8129179436077605</v>
      </c>
    </row>
    <row r="34" spans="1:12" x14ac:dyDescent="0.2">
      <c r="A34">
        <v>2016</v>
      </c>
      <c r="B34">
        <v>4</v>
      </c>
      <c r="C34">
        <f>POWER(Pillar1_quarterly1018[[#This Row],[A1. Financial]]^3*Pillar1_quarterly1018[[#This Row],[A2. Physical]]^2*Pillar1_quarterly1018[[#This Row],[A3. Human]]^4*Pillar1_quarterly1018[[#This Row],[A4. Social]],1/9)</f>
        <v>1.4916849212377301</v>
      </c>
      <c r="D34" s="14">
        <f>POWER(Pillar1_quarterly10[[#This Row],[GRDP per capital growth YoY]]*Pillar1_quarterly10[[#This Row],[Income per capital YoY]]*Pillar1_quarterly10[[#This Row],[Poverty rate YoY]],1/3)</f>
        <v>1.4093987135156187</v>
      </c>
      <c r="E34" s="19">
        <f>POWER(Pillar1_quarterly10[[#This Row],[% semi-permanent housing and below]]*Pillar1_quarterly10[[#This Row],[% of Agriculture land]],1/2)</f>
        <v>1.8856180831641267</v>
      </c>
      <c r="F34" s="19">
        <f>POWER(Pillar1_quarterly10[[#This Row],[Literacy rate of population aged 15+ ]]*Pillar1_quarterly10[[#This Row],[Rate of trained labor (%)]]*Pillar1_quarterly10[[#This Row],[Social security rate (%)]],1/3)</f>
        <v>1.2616218543303881</v>
      </c>
      <c r="G34" s="19">
        <f>(Pillar1_quarterly10[[#This Row],[Expenditure on human health, population and family planning / GRDP (%)]])</f>
        <v>1.45</v>
      </c>
      <c r="H34" s="19">
        <f>Pillar1_quarterly10[[#This Row],[HHI for Employed population by economic sector]]</f>
        <v>1.8104424013386597</v>
      </c>
      <c r="I34" t="s">
        <v>38</v>
      </c>
      <c r="J34">
        <v>1</v>
      </c>
    </row>
    <row r="35" spans="1:12" x14ac:dyDescent="0.2">
      <c r="A35">
        <v>2016</v>
      </c>
      <c r="B35">
        <v>3</v>
      </c>
      <c r="C35">
        <f>POWER(Pillar1_quarterly1018[[#This Row],[A1. Financial]]^3*Pillar1_quarterly1018[[#This Row],[A2. Physical]]^2*Pillar1_quarterly1018[[#This Row],[A3. Human]]^4*Pillar1_quarterly1018[[#This Row],[A4. Social]],1/9)</f>
        <v>1.4916849212377301</v>
      </c>
      <c r="D35" s="14">
        <f>POWER(Pillar1_quarterly10[[#This Row],[GRDP per capital growth YoY]]*Pillar1_quarterly10[[#This Row],[Income per capital YoY]]*Pillar1_quarterly10[[#This Row],[Poverty rate YoY]],1/3)</f>
        <v>1.4093987135156187</v>
      </c>
      <c r="E35" s="19">
        <f>POWER(Pillar1_quarterly10[[#This Row],[% semi-permanent housing and below]]*Pillar1_quarterly10[[#This Row],[% of Agriculture land]],1/2)</f>
        <v>1.8856180831641267</v>
      </c>
      <c r="F35" s="19">
        <f>POWER(Pillar1_quarterly10[[#This Row],[Literacy rate of population aged 15+ ]]*Pillar1_quarterly10[[#This Row],[Rate of trained labor (%)]]*Pillar1_quarterly10[[#This Row],[Social security rate (%)]],1/3)</f>
        <v>1.2616218543303881</v>
      </c>
      <c r="G35" s="19">
        <f>(Pillar1_quarterly10[[#This Row],[Expenditure on human health, population and family planning / GRDP (%)]])</f>
        <v>1.45</v>
      </c>
      <c r="H35" s="19">
        <f>Pillar1_quarterly10[[#This Row],[HHI for Employed population by economic sector]]</f>
        <v>1.8104424013386597</v>
      </c>
    </row>
    <row r="36" spans="1:12" x14ac:dyDescent="0.2">
      <c r="A36">
        <v>2016</v>
      </c>
      <c r="B36">
        <v>2</v>
      </c>
      <c r="C36">
        <f>POWER(Pillar1_quarterly1018[[#This Row],[A1. Financial]]^3*Pillar1_quarterly1018[[#This Row],[A2. Physical]]^2*Pillar1_quarterly1018[[#This Row],[A3. Human]]^4*Pillar1_quarterly1018[[#This Row],[A4. Social]],1/9)</f>
        <v>1.4916849212377301</v>
      </c>
      <c r="D36" s="14">
        <f>POWER(Pillar1_quarterly10[[#This Row],[GRDP per capital growth YoY]]*Pillar1_quarterly10[[#This Row],[Income per capital YoY]]*Pillar1_quarterly10[[#This Row],[Poverty rate YoY]],1/3)</f>
        <v>1.4093987135156187</v>
      </c>
      <c r="E36" s="19">
        <f>POWER(Pillar1_quarterly10[[#This Row],[% semi-permanent housing and below]]*Pillar1_quarterly10[[#This Row],[% of Agriculture land]],1/2)</f>
        <v>1.8856180831641267</v>
      </c>
      <c r="F36" s="19">
        <f>POWER(Pillar1_quarterly10[[#This Row],[Literacy rate of population aged 15+ ]]*Pillar1_quarterly10[[#This Row],[Rate of trained labor (%)]]*Pillar1_quarterly10[[#This Row],[Social security rate (%)]],1/3)</f>
        <v>1.2616218543303881</v>
      </c>
      <c r="G36" s="19">
        <f>(Pillar1_quarterly10[[#This Row],[Expenditure on human health, population and family planning / GRDP (%)]])</f>
        <v>1.45</v>
      </c>
      <c r="H36" s="19">
        <f>Pillar1_quarterly10[[#This Row],[HHI for Employed population by economic sector]]</f>
        <v>1.8104424013386597</v>
      </c>
      <c r="I36" t="s">
        <v>38</v>
      </c>
      <c r="J36">
        <v>2</v>
      </c>
    </row>
    <row r="37" spans="1:12" x14ac:dyDescent="0.2">
      <c r="A37">
        <v>2016</v>
      </c>
      <c r="B37">
        <v>1</v>
      </c>
      <c r="C37">
        <f>POWER(Pillar1_quarterly1018[[#This Row],[A1. Financial]]^3*Pillar1_quarterly1018[[#This Row],[A2. Physical]]^2*Pillar1_quarterly1018[[#This Row],[A3. Human]]^4*Pillar1_quarterly1018[[#This Row],[A4. Social]],1/9)</f>
        <v>1.4916849212377301</v>
      </c>
      <c r="D37" s="14">
        <f>POWER(Pillar1_quarterly10[[#This Row],[GRDP per capital growth YoY]]*Pillar1_quarterly10[[#This Row],[Income per capital YoY]]*Pillar1_quarterly10[[#This Row],[Poverty rate YoY]],1/3)</f>
        <v>1.4093987135156187</v>
      </c>
      <c r="E37" s="19">
        <f>POWER(Pillar1_quarterly10[[#This Row],[% semi-permanent housing and below]]*Pillar1_quarterly10[[#This Row],[% of Agriculture land]],1/2)</f>
        <v>1.8856180831641267</v>
      </c>
      <c r="F37" s="19">
        <f>POWER(Pillar1_quarterly10[[#This Row],[Literacy rate of population aged 15+ ]]*Pillar1_quarterly10[[#This Row],[Rate of trained labor (%)]]*Pillar1_quarterly10[[#This Row],[Social security rate (%)]],1/3)</f>
        <v>1.2616218543303881</v>
      </c>
      <c r="G37" s="19">
        <f>(Pillar1_quarterly10[[#This Row],[Expenditure on human health, population and family planning / GRDP (%)]])</f>
        <v>1.45</v>
      </c>
      <c r="H37" s="19">
        <f>Pillar1_quarterly10[[#This Row],[HHI for Employed population by economic sector]]</f>
        <v>1.8104424013386597</v>
      </c>
      <c r="I37" t="s">
        <v>38</v>
      </c>
      <c r="J37">
        <v>2</v>
      </c>
    </row>
    <row r="38" spans="1:12" x14ac:dyDescent="0.2">
      <c r="A38">
        <v>2015</v>
      </c>
      <c r="B38">
        <v>4</v>
      </c>
      <c r="C38">
        <f>POWER(Pillar1_quarterly1018[[#This Row],[A1. Financial]]^3*Pillar1_quarterly1018[[#This Row],[A2. Physical]]^2*Pillar1_quarterly1018[[#This Row],[A3. Human]]^4*Pillar1_quarterly1018[[#This Row],[A4. Social]],1/9)</f>
        <v>1.2992292685081028</v>
      </c>
      <c r="D38" s="14">
        <f>POWER(Pillar1_quarterly10[[#This Row],[GRDP per capital growth YoY]]*Pillar1_quarterly10[[#This Row],[Income per capital YoY]]*Pillar1_quarterly10[[#This Row],[Poverty rate YoY]],1/3)</f>
        <v>1.3068005569463317</v>
      </c>
      <c r="E38" s="19">
        <f>POWER(Pillar1_quarterly10[[#This Row],[% semi-permanent housing and below]]*Pillar1_quarterly10[[#This Row],[% of Agriculture land]],1/2)</f>
        <v>1.398411797560202</v>
      </c>
      <c r="F38" s="19">
        <f>POWER(Pillar1_quarterly10[[#This Row],[Literacy rate of population aged 15+ ]]*Pillar1_quarterly10[[#This Row],[Rate of trained labor (%)]]*Pillar1_quarterly10[[#This Row],[Social security rate (%)]],1/3)</f>
        <v>1.1174692797827663</v>
      </c>
      <c r="G38" s="19">
        <f>(Pillar1_quarterly10[[#This Row],[Expenditure on human health, population and family planning / GRDP (%)]])</f>
        <v>1.55</v>
      </c>
      <c r="H38" s="19">
        <f>Pillar1_quarterly10[[#This Row],[HHI for Employed population by economic sector]]</f>
        <v>1.8942034707729194</v>
      </c>
      <c r="I38" t="s">
        <v>38</v>
      </c>
      <c r="J38">
        <v>2</v>
      </c>
    </row>
    <row r="39" spans="1:12" x14ac:dyDescent="0.2">
      <c r="A39">
        <v>2015</v>
      </c>
      <c r="B39">
        <v>3</v>
      </c>
      <c r="C39">
        <f>POWER(Pillar1_quarterly1018[[#This Row],[A1. Financial]]^3*Pillar1_quarterly1018[[#This Row],[A2. Physical]]^2*Pillar1_quarterly1018[[#This Row],[A3. Human]]^4*Pillar1_quarterly1018[[#This Row],[A4. Social]],1/9)</f>
        <v>1.2992292685081028</v>
      </c>
      <c r="D39" s="14">
        <f>POWER(Pillar1_quarterly10[[#This Row],[GRDP per capital growth YoY]]*Pillar1_quarterly10[[#This Row],[Income per capital YoY]]*Pillar1_quarterly10[[#This Row],[Poverty rate YoY]],1/3)</f>
        <v>1.3068005569463317</v>
      </c>
      <c r="E39" s="19">
        <f>POWER(Pillar1_quarterly10[[#This Row],[% semi-permanent housing and below]]*Pillar1_quarterly10[[#This Row],[% of Agriculture land]],1/2)</f>
        <v>1.398411797560202</v>
      </c>
      <c r="F39" s="19">
        <f>POWER(Pillar1_quarterly10[[#This Row],[Literacy rate of population aged 15+ ]]*Pillar1_quarterly10[[#This Row],[Rate of trained labor (%)]]*Pillar1_quarterly10[[#This Row],[Social security rate (%)]],1/3)</f>
        <v>1.1174692797827663</v>
      </c>
      <c r="G39" s="19">
        <f>(Pillar1_quarterly10[[#This Row],[Expenditure on human health, population and family planning / GRDP (%)]])</f>
        <v>1.55</v>
      </c>
      <c r="H39" s="19">
        <f>Pillar1_quarterly10[[#This Row],[HHI for Employed population by economic sector]]</f>
        <v>1.8942034707729194</v>
      </c>
    </row>
    <row r="40" spans="1:12" x14ac:dyDescent="0.2">
      <c r="A40">
        <v>2015</v>
      </c>
      <c r="B40">
        <v>2</v>
      </c>
      <c r="C40">
        <f>POWER(Pillar1_quarterly1018[[#This Row],[A1. Financial]]^3*Pillar1_quarterly1018[[#This Row],[A2. Physical]]^2*Pillar1_quarterly1018[[#This Row],[A3. Human]]^4*Pillar1_quarterly1018[[#This Row],[A4. Social]],1/9)</f>
        <v>1.2992292685081028</v>
      </c>
      <c r="D40" s="14">
        <f>POWER(Pillar1_quarterly10[[#This Row],[GRDP per capital growth YoY]]*Pillar1_quarterly10[[#This Row],[Income per capital YoY]]*Pillar1_quarterly10[[#This Row],[Poverty rate YoY]],1/3)</f>
        <v>1.3068005569463317</v>
      </c>
      <c r="E40" s="19">
        <f>POWER(Pillar1_quarterly10[[#This Row],[% semi-permanent housing and below]]*Pillar1_quarterly10[[#This Row],[% of Agriculture land]],1/2)</f>
        <v>1.398411797560202</v>
      </c>
      <c r="F40" s="19">
        <f>POWER(Pillar1_quarterly10[[#This Row],[Literacy rate of population aged 15+ ]]*Pillar1_quarterly10[[#This Row],[Rate of trained labor (%)]]*Pillar1_quarterly10[[#This Row],[Social security rate (%)]],1/3)</f>
        <v>1.1174692797827663</v>
      </c>
      <c r="G40" s="19">
        <f>(Pillar1_quarterly10[[#This Row],[Expenditure on human health, population and family planning / GRDP (%)]])</f>
        <v>1.55</v>
      </c>
      <c r="H40" s="19">
        <f>Pillar1_quarterly10[[#This Row],[HHI for Employed population by economic sector]]</f>
        <v>1.8942034707729194</v>
      </c>
      <c r="I40" t="s">
        <v>35</v>
      </c>
      <c r="J40">
        <v>2</v>
      </c>
    </row>
    <row r="41" spans="1:12" x14ac:dyDescent="0.2">
      <c r="A41">
        <v>2015</v>
      </c>
      <c r="B41">
        <v>1</v>
      </c>
      <c r="C41">
        <f>POWER(Pillar1_quarterly1018[[#This Row],[A1. Financial]]^3*Pillar1_quarterly1018[[#This Row],[A2. Physical]]^2*Pillar1_quarterly1018[[#This Row],[A3. Human]]^4*Pillar1_quarterly1018[[#This Row],[A4. Social]],1/9)</f>
        <v>1.2992292685081028</v>
      </c>
      <c r="D41" s="14">
        <f>POWER(Pillar1_quarterly10[[#This Row],[GRDP per capital growth YoY]]*Pillar1_quarterly10[[#This Row],[Income per capital YoY]]*Pillar1_quarterly10[[#This Row],[Poverty rate YoY]],1/3)</f>
        <v>1.3068005569463317</v>
      </c>
      <c r="E41" s="19">
        <f>POWER(Pillar1_quarterly10[[#This Row],[% semi-permanent housing and below]]*Pillar1_quarterly10[[#This Row],[% of Agriculture land]],1/2)</f>
        <v>1.398411797560202</v>
      </c>
      <c r="F41" s="19">
        <f>POWER(Pillar1_quarterly10[[#This Row],[Literacy rate of population aged 15+ ]]*Pillar1_quarterly10[[#This Row],[Rate of trained labor (%)]]*Pillar1_quarterly10[[#This Row],[Social security rate (%)]],1/3)</f>
        <v>1.1174692797827663</v>
      </c>
      <c r="G41" s="19">
        <f>(Pillar1_quarterly10[[#This Row],[Expenditure on human health, population and family planning / GRDP (%)]])</f>
        <v>1.55</v>
      </c>
      <c r="H41" s="19">
        <f>Pillar1_quarterly10[[#This Row],[HHI for Employed population by economic sector]]</f>
        <v>1.8942034707729194</v>
      </c>
    </row>
    <row r="42" spans="1:12" x14ac:dyDescent="0.2">
      <c r="A42">
        <v>2014</v>
      </c>
      <c r="B42">
        <v>4</v>
      </c>
      <c r="C42">
        <f>POWER(Pillar1_quarterly1018[[#This Row],[A1. Financial]]^3*Pillar1_quarterly1018[[#This Row],[A2. Physical]]^2*Pillar1_quarterly1018[[#This Row],[A3. Human]]^4*Pillar1_quarterly1018[[#This Row],[A4. Social]],1/9)</f>
        <v>1.3945601077591656</v>
      </c>
      <c r="D42" s="14">
        <f>POWER(Pillar1_quarterly10[[#This Row],[GRDP per capital growth YoY]]*Pillar1_quarterly10[[#This Row],[Income per capital YoY]]*Pillar1_quarterly10[[#This Row],[Poverty rate YoY]],1/3)</f>
        <v>1.5874010519681994</v>
      </c>
      <c r="E42" s="19">
        <f>POWER(Pillar1_quarterly10[[#This Row],[% semi-permanent housing and below]]*Pillar1_quarterly10[[#This Row],[% of Agriculture land]],1/2)</f>
        <v>1.398411797560202</v>
      </c>
      <c r="F42" s="19">
        <f>POWER(Pillar1_quarterly10[[#This Row],[Literacy rate of population aged 15+ ]]*Pillar1_quarterly10[[#This Row],[Rate of trained labor (%)]]*Pillar1_quarterly10[[#This Row],[Social security rate (%)]],1/3)</f>
        <v>1.0626585691826078</v>
      </c>
      <c r="G42" s="19">
        <f>(Pillar1_quarterly10[[#This Row],[Expenditure on human health, population and family planning / GRDP (%)]])</f>
        <v>2</v>
      </c>
      <c r="H42" s="19">
        <f>Pillar1_quarterly10[[#This Row],[HHI for Employed population by economic sector]]</f>
        <v>2</v>
      </c>
      <c r="I42" t="s">
        <v>35</v>
      </c>
      <c r="J42">
        <v>2</v>
      </c>
      <c r="K42" t="s">
        <v>38</v>
      </c>
      <c r="L42">
        <v>1</v>
      </c>
    </row>
    <row r="43" spans="1:12" x14ac:dyDescent="0.2">
      <c r="A43">
        <v>2014</v>
      </c>
      <c r="B43">
        <v>3</v>
      </c>
      <c r="C43">
        <f>POWER(Pillar1_quarterly1018[[#This Row],[A1. Financial]]^3*Pillar1_quarterly1018[[#This Row],[A2. Physical]]^2*Pillar1_quarterly1018[[#This Row],[A3. Human]]^4*Pillar1_quarterly1018[[#This Row],[A4. Social]],1/9)</f>
        <v>1.3945601077591656</v>
      </c>
      <c r="D43" s="14">
        <f>POWER(Pillar1_quarterly10[[#This Row],[GRDP per capital growth YoY]]*Pillar1_quarterly10[[#This Row],[Income per capital YoY]]*Pillar1_quarterly10[[#This Row],[Poverty rate YoY]],1/3)</f>
        <v>1.5874010519681994</v>
      </c>
      <c r="E43" s="19">
        <f>POWER(Pillar1_quarterly10[[#This Row],[% semi-permanent housing and below]]*Pillar1_quarterly10[[#This Row],[% of Agriculture land]],1/2)</f>
        <v>1.398411797560202</v>
      </c>
      <c r="F43" s="19">
        <f>POWER(Pillar1_quarterly10[[#This Row],[Literacy rate of population aged 15+ ]]*Pillar1_quarterly10[[#This Row],[Rate of trained labor (%)]]*Pillar1_quarterly10[[#This Row],[Social security rate (%)]],1/3)</f>
        <v>1.0626585691826078</v>
      </c>
      <c r="G43" s="19">
        <f>(Pillar1_quarterly10[[#This Row],[Expenditure on human health, population and family planning / GRDP (%)]])</f>
        <v>2</v>
      </c>
      <c r="H43" s="19">
        <f>Pillar1_quarterly10[[#This Row],[HHI for Employed population by economic sector]]</f>
        <v>2</v>
      </c>
    </row>
    <row r="44" spans="1:12" x14ac:dyDescent="0.2">
      <c r="A44">
        <v>2014</v>
      </c>
      <c r="B44">
        <v>2</v>
      </c>
      <c r="C44">
        <f>POWER(Pillar1_quarterly1018[[#This Row],[A1. Financial]]^3*Pillar1_quarterly1018[[#This Row],[A2. Physical]]^2*Pillar1_quarterly1018[[#This Row],[A3. Human]]^4*Pillar1_quarterly1018[[#This Row],[A4. Social]],1/9)</f>
        <v>1.3945601077591656</v>
      </c>
      <c r="D44" s="14">
        <f>POWER(Pillar1_quarterly10[[#This Row],[GRDP per capital growth YoY]]*Pillar1_quarterly10[[#This Row],[Income per capital YoY]]*Pillar1_quarterly10[[#This Row],[Poverty rate YoY]],1/3)</f>
        <v>1.5874010519681994</v>
      </c>
      <c r="E44" s="19">
        <f>POWER(Pillar1_quarterly10[[#This Row],[% semi-permanent housing and below]]*Pillar1_quarterly10[[#This Row],[% of Agriculture land]],1/2)</f>
        <v>1.398411797560202</v>
      </c>
      <c r="F44" s="19">
        <f>POWER(Pillar1_quarterly10[[#This Row],[Literacy rate of population aged 15+ ]]*Pillar1_quarterly10[[#This Row],[Rate of trained labor (%)]]*Pillar1_quarterly10[[#This Row],[Social security rate (%)]],1/3)</f>
        <v>1.0626585691826078</v>
      </c>
      <c r="G44" s="19">
        <f>(Pillar1_quarterly10[[#This Row],[Expenditure on human health, population and family planning / GRDP (%)]])</f>
        <v>2</v>
      </c>
      <c r="H44" s="19">
        <f>Pillar1_quarterly10[[#This Row],[HHI for Employed population by economic sector]]</f>
        <v>2</v>
      </c>
    </row>
    <row r="45" spans="1:12" x14ac:dyDescent="0.2">
      <c r="A45">
        <v>2014</v>
      </c>
      <c r="B45">
        <v>1</v>
      </c>
      <c r="C45">
        <f>POWER(Pillar1_quarterly1018[[#This Row],[A1. Financial]]^3*Pillar1_quarterly1018[[#This Row],[A2. Physical]]^2*Pillar1_quarterly1018[[#This Row],[A3. Human]]^4*Pillar1_quarterly1018[[#This Row],[A4. Social]],1/9)</f>
        <v>1.3945601077591656</v>
      </c>
      <c r="D45" s="14">
        <f>POWER(Pillar1_quarterly10[[#This Row],[GRDP per capital growth YoY]]*Pillar1_quarterly10[[#This Row],[Income per capital YoY]]*Pillar1_quarterly10[[#This Row],[Poverty rate YoY]],1/3)</f>
        <v>1.5874010519681994</v>
      </c>
      <c r="E45" s="19">
        <f>POWER(Pillar1_quarterly10[[#This Row],[% semi-permanent housing and below]]*Pillar1_quarterly10[[#This Row],[% of Agriculture land]],1/2)</f>
        <v>1.398411797560202</v>
      </c>
      <c r="F45" s="19">
        <f>POWER(Pillar1_quarterly10[[#This Row],[Literacy rate of population aged 15+ ]]*Pillar1_quarterly10[[#This Row],[Rate of trained labor (%)]]*Pillar1_quarterly10[[#This Row],[Social security rate (%)]],1/3)</f>
        <v>1.0626585691826078</v>
      </c>
      <c r="G45" s="19">
        <f>(Pillar1_quarterly10[[#This Row],[Expenditure on human health, population and family planning / GRDP (%)]])</f>
        <v>2</v>
      </c>
      <c r="H45" s="19">
        <f>Pillar1_quarterly10[[#This Row],[HHI for Employed population by economic sector]]</f>
        <v>2</v>
      </c>
    </row>
    <row r="48" spans="1:12" x14ac:dyDescent="0.2">
      <c r="C48" s="19"/>
    </row>
    <row r="49" spans="3:3" x14ac:dyDescent="0.2">
      <c r="C49" s="19"/>
    </row>
    <row r="50" spans="3:3" x14ac:dyDescent="0.2">
      <c r="C50" s="19"/>
    </row>
    <row r="51" spans="3:3" x14ac:dyDescent="0.2">
      <c r="C51" s="19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AE4F-C727-1F45-AF25-820AC2E5B17B}">
  <dimension ref="A1:N55"/>
  <sheetViews>
    <sheetView workbookViewId="0">
      <selection activeCell="E2" sqref="E2"/>
    </sheetView>
  </sheetViews>
  <sheetFormatPr baseColWidth="10" defaultRowHeight="16" x14ac:dyDescent="0.2"/>
  <cols>
    <col min="5" max="5" width="14.5" customWidth="1"/>
    <col min="8" max="8" width="14.83203125" customWidth="1"/>
    <col min="10" max="11" width="18.1640625" customWidth="1"/>
  </cols>
  <sheetData>
    <row r="1" spans="1:14" ht="54" customHeight="1" x14ac:dyDescent="0.2">
      <c r="A1" s="10" t="s">
        <v>0</v>
      </c>
      <c r="B1" s="10" t="s">
        <v>1</v>
      </c>
      <c r="C1" s="10" t="s">
        <v>103</v>
      </c>
      <c r="D1" s="10" t="s">
        <v>101</v>
      </c>
      <c r="E1" s="10" t="s">
        <v>102</v>
      </c>
      <c r="F1" s="10" t="s">
        <v>104</v>
      </c>
      <c r="G1" s="10" t="s">
        <v>105</v>
      </c>
      <c r="H1" s="10" t="s">
        <v>106</v>
      </c>
      <c r="I1" s="10" t="s">
        <v>107</v>
      </c>
      <c r="J1" s="10" t="s">
        <v>108</v>
      </c>
      <c r="K1" s="10" t="s">
        <v>31</v>
      </c>
      <c r="L1" s="10" t="s">
        <v>33</v>
      </c>
      <c r="M1" s="10" t="s">
        <v>95</v>
      </c>
      <c r="N1" s="10" t="s">
        <v>96</v>
      </c>
    </row>
    <row r="2" spans="1:14" x14ac:dyDescent="0.2">
      <c r="A2">
        <v>2024</v>
      </c>
      <c r="B2">
        <v>4</v>
      </c>
      <c r="C2">
        <f>POWER(Pillar2_quarterly1419[[#This Row],[A1. Local production output]]*Pillar2_quarterly1419[[#This Row],[A2. Food self-sufficiency rate ]]*Pillar2_quarterly1419[[#This Row],[A3. Dietary diversity score]], 1/3)</f>
        <v>1.5987506893750725</v>
      </c>
      <c r="D2" s="3">
        <f>POWER(Pillar2_quarterly14[[#This Row],[Rice production (tons)]]*Pillar2_quarterly14[[#This Row],[Fishery production (tons)]]*Pillar2_quarterly14[[#This Row],[Meat production]], 1/3)</f>
        <v>1.5805770519316775</v>
      </c>
      <c r="E2" s="3">
        <f>POWER(Pillar2_quarterly14[[#This Row],[Rice self-sufficiency rate]]*Pillar2_quarterly14[[#This Row],[Meat self-sufficiency rate]]*Pillar2_quarterly14[[#This Row],[Fish self-sufficiency rate]], 1/3)</f>
        <v>1.4051252154865743</v>
      </c>
      <c r="F2" s="3">
        <f>Pillar2_quarterly14[[#This Row],[% of expenditure on non-staple food groups.]]</f>
        <v>1.8399733578028563</v>
      </c>
      <c r="G2" s="3">
        <f>POWER(Pillar2_quarterly14[[#This Row],[Total markets/supermarkets]]*Pillar2_quarterly14[[#This Row],[PCI]], 1/2)</f>
        <v>1.586045352040274</v>
      </c>
      <c r="H2" s="3">
        <f>POWER(Pillar2_quarterly1419[[#This Row],[C1.Import dependency ratio ]]*Pillar2_quarterly1419[[#This Row],[C2.Supplier concentration level]], 1/2)</f>
        <v>1.7060855416628338</v>
      </c>
      <c r="I2" s="3">
        <f>POWER(Pillar2_quarterly14[[#This Row],[Rice import rate]]+Pillar2_quarterly14[[#This Row],[Meat import rate]]+Pillar2_quarterly14[[#This Row],[Fish import rate]],1/3)</f>
        <v>1.4553639377354826</v>
      </c>
      <c r="J2" s="3">
        <f>POWER(Pillar2_quarterly14[[#This Row],[Rice HHI for import partners]]*Pillar2_quarterly14[[#This Row],[Meat HHI for import partners]]*Pillar2_quarterly14[[#This Row],[Fish HHI for import partners]], 1/3)</f>
        <v>1.9999999999999998</v>
      </c>
    </row>
    <row r="3" spans="1:14" x14ac:dyDescent="0.2">
      <c r="A3">
        <v>2024</v>
      </c>
      <c r="B3">
        <v>3</v>
      </c>
      <c r="C3">
        <f>POWER(Pillar2_quarterly1419[[#This Row],[A1. Local production output]]*Pillar2_quarterly1419[[#This Row],[A2. Food self-sufficiency rate ]]*Pillar2_quarterly1419[[#This Row],[A3. Dietary diversity score]], 1/3)</f>
        <v>1.5987506893750725</v>
      </c>
      <c r="D3" s="3">
        <f>POWER(Pillar2_quarterly14[[#This Row],[Rice production (tons)]]*Pillar2_quarterly14[[#This Row],[Fishery production (tons)]]*Pillar2_quarterly14[[#This Row],[Meat production]], 1/3)</f>
        <v>1.5805770519316775</v>
      </c>
      <c r="E3" s="3">
        <f>POWER(Pillar2_quarterly14[[#This Row],[Rice self-sufficiency rate]]*Pillar2_quarterly14[[#This Row],[Meat self-sufficiency rate]]*Pillar2_quarterly14[[#This Row],[Fish self-sufficiency rate]], 1/3)</f>
        <v>1.4051252154865743</v>
      </c>
      <c r="F3" s="3">
        <f>Pillar2_quarterly14[[#This Row],[% of expenditure on non-staple food groups.]]</f>
        <v>1.8399733578028563</v>
      </c>
      <c r="G3" s="3">
        <f>POWER(Pillar2_quarterly14[[#This Row],[Total markets/supermarkets]]*Pillar2_quarterly14[[#This Row],[PCI]], 1/2)</f>
        <v>1.586045352040274</v>
      </c>
      <c r="H3" s="3">
        <f>POWER(Pillar2_quarterly1419[[#This Row],[C1.Import dependency ratio ]]*Pillar2_quarterly1419[[#This Row],[C2.Supplier concentration level]], 1/2)</f>
        <v>1.7060855416628338</v>
      </c>
      <c r="I3" s="3">
        <f>POWER(Pillar2_quarterly14[[#This Row],[Rice import rate]]+Pillar2_quarterly14[[#This Row],[Meat import rate]]+Pillar2_quarterly14[[#This Row],[Fish import rate]],1/3)</f>
        <v>1.4553639377354826</v>
      </c>
      <c r="J3" s="3">
        <f>POWER(Pillar2_quarterly14[[#This Row],[Rice HHI for import partners]]*Pillar2_quarterly14[[#This Row],[Meat HHI for import partners]]*Pillar2_quarterly14[[#This Row],[Fish HHI for import partners]], 1/3)</f>
        <v>1.9999999999999998</v>
      </c>
      <c r="K3" t="s">
        <v>38</v>
      </c>
      <c r="L3">
        <v>2</v>
      </c>
    </row>
    <row r="4" spans="1:14" x14ac:dyDescent="0.2">
      <c r="A4">
        <v>2024</v>
      </c>
      <c r="B4">
        <v>2</v>
      </c>
      <c r="C4">
        <f>POWER(Pillar2_quarterly1419[[#This Row],[A1. Local production output]]*Pillar2_quarterly1419[[#This Row],[A2. Food self-sufficiency rate ]]*Pillar2_quarterly1419[[#This Row],[A3. Dietary diversity score]], 1/3)</f>
        <v>1.5987506893750725</v>
      </c>
      <c r="D4" s="3">
        <f>POWER(Pillar2_quarterly14[[#This Row],[Rice production (tons)]]*Pillar2_quarterly14[[#This Row],[Fishery production (tons)]]*Pillar2_quarterly14[[#This Row],[Meat production]], 1/3)</f>
        <v>1.5805770519316775</v>
      </c>
      <c r="E4" s="3">
        <f>POWER(Pillar2_quarterly14[[#This Row],[Rice self-sufficiency rate]]*Pillar2_quarterly14[[#This Row],[Meat self-sufficiency rate]]*Pillar2_quarterly14[[#This Row],[Fish self-sufficiency rate]], 1/3)</f>
        <v>1.4051252154865743</v>
      </c>
      <c r="F4" s="3">
        <f>Pillar2_quarterly14[[#This Row],[% of expenditure on non-staple food groups.]]</f>
        <v>1.8399733578028563</v>
      </c>
      <c r="G4" s="3">
        <f>POWER(Pillar2_quarterly14[[#This Row],[Total markets/supermarkets]]*Pillar2_quarterly14[[#This Row],[PCI]], 1/2)</f>
        <v>1.586045352040274</v>
      </c>
      <c r="H4" s="3">
        <f>POWER(Pillar2_quarterly1419[[#This Row],[C1.Import dependency ratio ]]*Pillar2_quarterly1419[[#This Row],[C2.Supplier concentration level]], 1/2)</f>
        <v>1.7060855416628338</v>
      </c>
      <c r="I4" s="3">
        <f>POWER(Pillar2_quarterly14[[#This Row],[Rice import rate]]+Pillar2_quarterly14[[#This Row],[Meat import rate]]+Pillar2_quarterly14[[#This Row],[Fish import rate]],1/3)</f>
        <v>1.4553639377354826</v>
      </c>
      <c r="J4" s="3">
        <f>POWER(Pillar2_quarterly14[[#This Row],[Rice HHI for import partners]]*Pillar2_quarterly14[[#This Row],[Meat HHI for import partners]]*Pillar2_quarterly14[[#This Row],[Fish HHI for import partners]], 1/3)</f>
        <v>1.9999999999999998</v>
      </c>
      <c r="K4" t="s">
        <v>38</v>
      </c>
      <c r="L4">
        <v>2</v>
      </c>
    </row>
    <row r="5" spans="1:14" x14ac:dyDescent="0.2">
      <c r="A5">
        <v>2024</v>
      </c>
      <c r="B5">
        <v>1</v>
      </c>
      <c r="C5">
        <f>POWER(Pillar2_quarterly1419[[#This Row],[A1. Local production output]]*Pillar2_quarterly1419[[#This Row],[A2. Food self-sufficiency rate ]]*Pillar2_quarterly1419[[#This Row],[A3. Dietary diversity score]], 1/3)</f>
        <v>1.5987506893750725</v>
      </c>
      <c r="D5" s="3">
        <f>POWER(Pillar2_quarterly14[[#This Row],[Rice production (tons)]]*Pillar2_quarterly14[[#This Row],[Fishery production (tons)]]*Pillar2_quarterly14[[#This Row],[Meat production]], 1/3)</f>
        <v>1.5805770519316775</v>
      </c>
      <c r="E5" s="3">
        <f>POWER(Pillar2_quarterly14[[#This Row],[Rice self-sufficiency rate]]*Pillar2_quarterly14[[#This Row],[Meat self-sufficiency rate]]*Pillar2_quarterly14[[#This Row],[Fish self-sufficiency rate]], 1/3)</f>
        <v>1.4051252154865743</v>
      </c>
      <c r="F5" s="3">
        <f>Pillar2_quarterly14[[#This Row],[% of expenditure on non-staple food groups.]]</f>
        <v>1.8399733578028563</v>
      </c>
      <c r="G5" s="3">
        <f>POWER(Pillar2_quarterly14[[#This Row],[Total markets/supermarkets]]*Pillar2_quarterly14[[#This Row],[PCI]], 1/2)</f>
        <v>1.586045352040274</v>
      </c>
      <c r="H5" s="3">
        <f>POWER(Pillar2_quarterly1419[[#This Row],[C1.Import dependency ratio ]]*Pillar2_quarterly1419[[#This Row],[C2.Supplier concentration level]], 1/2)</f>
        <v>1.7060855416628338</v>
      </c>
      <c r="I5" s="3">
        <f>POWER(Pillar2_quarterly14[[#This Row],[Rice import rate]]+Pillar2_quarterly14[[#This Row],[Meat import rate]]+Pillar2_quarterly14[[#This Row],[Fish import rate]],1/3)</f>
        <v>1.4553639377354826</v>
      </c>
      <c r="J5" s="3">
        <f>POWER(Pillar2_quarterly14[[#This Row],[Rice HHI for import partners]]*Pillar2_quarterly14[[#This Row],[Meat HHI for import partners]]*Pillar2_quarterly14[[#This Row],[Fish HHI for import partners]], 1/3)</f>
        <v>1.9999999999999998</v>
      </c>
    </row>
    <row r="6" spans="1:14" x14ac:dyDescent="0.2">
      <c r="A6">
        <v>2023</v>
      </c>
      <c r="B6">
        <v>4</v>
      </c>
      <c r="C6">
        <f>POWER(Pillar2_quarterly1419[[#This Row],[A1. Local production output]]*Pillar2_quarterly1419[[#This Row],[A2. Food self-sufficiency rate ]]*Pillar2_quarterly1419[[#This Row],[A3. Dietary diversity score]], 1/3)</f>
        <v>1.6359019275303879</v>
      </c>
      <c r="D6" s="3">
        <f>POWER(Pillar2_quarterly14[[#This Row],[Rice production (tons)]]*Pillar2_quarterly14[[#This Row],[Fishery production (tons)]]*Pillar2_quarterly14[[#This Row],[Meat production]], 1/3)</f>
        <v>1.656367119122335</v>
      </c>
      <c r="E6" s="3">
        <f>POWER(Pillar2_quarterly14[[#This Row],[Rice self-sufficiency rate]]*Pillar2_quarterly14[[#This Row],[Meat self-sufficiency rate]]*Pillar2_quarterly14[[#This Row],[Fish self-sufficiency rate]], 1/3)</f>
        <v>1.4984543550890317</v>
      </c>
      <c r="F6" s="3">
        <f>Pillar2_quarterly14[[#This Row],[% of expenditure on non-staple food groups.]]</f>
        <v>1.7638907120847365</v>
      </c>
      <c r="G6" s="3">
        <f>POWER(Pillar2_quarterly14[[#This Row],[Total markets/supermarkets]]*Pillar2_quarterly14[[#This Row],[PCI]], 1/2)</f>
        <v>1.5259577065897689</v>
      </c>
      <c r="H6" s="3">
        <f>POWER(Pillar2_quarterly1419[[#This Row],[C1.Import dependency ratio ]]*Pillar2_quarterly1419[[#This Row],[C2.Supplier concentration level]], 1/2)</f>
        <v>1.6975104523976201</v>
      </c>
      <c r="I6" s="3">
        <f>POWER(Pillar2_quarterly14[[#This Row],[Rice import rate]]+Pillar2_quarterly14[[#This Row],[Meat import rate]]+Pillar2_quarterly14[[#This Row],[Fish import rate]],1/3)</f>
        <v>1.498420758710445</v>
      </c>
      <c r="J6" s="3">
        <f>POWER(Pillar2_quarterly14[[#This Row],[Rice HHI for import partners]]*Pillar2_quarterly14[[#This Row],[Meat HHI for import partners]]*Pillar2_quarterly14[[#This Row],[Fish HHI for import partners]], 1/3)</f>
        <v>1.9230524665709083</v>
      </c>
    </row>
    <row r="7" spans="1:14" x14ac:dyDescent="0.2">
      <c r="A7">
        <v>2023</v>
      </c>
      <c r="B7">
        <v>3</v>
      </c>
      <c r="C7">
        <f>POWER(Pillar2_quarterly1419[[#This Row],[A1. Local production output]]*Pillar2_quarterly1419[[#This Row],[A2. Food self-sufficiency rate ]]*Pillar2_quarterly1419[[#This Row],[A3. Dietary diversity score]], 1/3)</f>
        <v>1.6359019275303879</v>
      </c>
      <c r="D7" s="3">
        <f>POWER(Pillar2_quarterly14[[#This Row],[Rice production (tons)]]*Pillar2_quarterly14[[#This Row],[Fishery production (tons)]]*Pillar2_quarterly14[[#This Row],[Meat production]], 1/3)</f>
        <v>1.656367119122335</v>
      </c>
      <c r="E7" s="3">
        <f>POWER(Pillar2_quarterly14[[#This Row],[Rice self-sufficiency rate]]*Pillar2_quarterly14[[#This Row],[Meat self-sufficiency rate]]*Pillar2_quarterly14[[#This Row],[Fish self-sufficiency rate]], 1/3)</f>
        <v>1.4984543550890317</v>
      </c>
      <c r="F7" s="3">
        <f>Pillar2_quarterly14[[#This Row],[% of expenditure on non-staple food groups.]]</f>
        <v>1.7638907120847365</v>
      </c>
      <c r="G7" s="3">
        <f>POWER(Pillar2_quarterly14[[#This Row],[Total markets/supermarkets]]*Pillar2_quarterly14[[#This Row],[PCI]], 1/2)</f>
        <v>1.5259577065897689</v>
      </c>
      <c r="H7" s="3">
        <f>POWER(Pillar2_quarterly1419[[#This Row],[C1.Import dependency ratio ]]*Pillar2_quarterly1419[[#This Row],[C2.Supplier concentration level]], 1/2)</f>
        <v>1.6975104523976201</v>
      </c>
      <c r="I7" s="3">
        <f>POWER(Pillar2_quarterly14[[#This Row],[Rice import rate]]+Pillar2_quarterly14[[#This Row],[Meat import rate]]+Pillar2_quarterly14[[#This Row],[Fish import rate]],1/3)</f>
        <v>1.498420758710445</v>
      </c>
      <c r="J7" s="3">
        <f>POWER(Pillar2_quarterly14[[#This Row],[Rice HHI for import partners]]*Pillar2_quarterly14[[#This Row],[Meat HHI for import partners]]*Pillar2_quarterly14[[#This Row],[Fish HHI for import partners]], 1/3)</f>
        <v>1.9230524665709083</v>
      </c>
    </row>
    <row r="8" spans="1:14" x14ac:dyDescent="0.2">
      <c r="A8">
        <v>2023</v>
      </c>
      <c r="B8">
        <v>2</v>
      </c>
      <c r="C8">
        <f>POWER(Pillar2_quarterly1419[[#This Row],[A1. Local production output]]*Pillar2_quarterly1419[[#This Row],[A2. Food self-sufficiency rate ]]*Pillar2_quarterly1419[[#This Row],[A3. Dietary diversity score]], 1/3)</f>
        <v>1.6359019275303879</v>
      </c>
      <c r="D8" s="3">
        <f>POWER(Pillar2_quarterly14[[#This Row],[Rice production (tons)]]*Pillar2_quarterly14[[#This Row],[Fishery production (tons)]]*Pillar2_quarterly14[[#This Row],[Meat production]], 1/3)</f>
        <v>1.656367119122335</v>
      </c>
      <c r="E8" s="3">
        <f>POWER(Pillar2_quarterly14[[#This Row],[Rice self-sufficiency rate]]*Pillar2_quarterly14[[#This Row],[Meat self-sufficiency rate]]*Pillar2_quarterly14[[#This Row],[Fish self-sufficiency rate]], 1/3)</f>
        <v>1.4984543550890317</v>
      </c>
      <c r="F8" s="3">
        <f>Pillar2_quarterly14[[#This Row],[% of expenditure on non-staple food groups.]]</f>
        <v>1.7638907120847365</v>
      </c>
      <c r="G8" s="3">
        <f>POWER(Pillar2_quarterly14[[#This Row],[Total markets/supermarkets]]*Pillar2_quarterly14[[#This Row],[PCI]], 1/2)</f>
        <v>1.5259577065897689</v>
      </c>
      <c r="H8" s="3">
        <f>POWER(Pillar2_quarterly1419[[#This Row],[C1.Import dependency ratio ]]*Pillar2_quarterly1419[[#This Row],[C2.Supplier concentration level]], 1/2)</f>
        <v>1.6975104523976201</v>
      </c>
      <c r="I8" s="3">
        <f>POWER(Pillar2_quarterly14[[#This Row],[Rice import rate]]+Pillar2_quarterly14[[#This Row],[Meat import rate]]+Pillar2_quarterly14[[#This Row],[Fish import rate]],1/3)</f>
        <v>1.498420758710445</v>
      </c>
      <c r="J8" s="3">
        <f>POWER(Pillar2_quarterly14[[#This Row],[Rice HHI for import partners]]*Pillar2_quarterly14[[#This Row],[Meat HHI for import partners]]*Pillar2_quarterly14[[#This Row],[Fish HHI for import partners]], 1/3)</f>
        <v>1.9230524665709083</v>
      </c>
      <c r="K8" t="s">
        <v>35</v>
      </c>
      <c r="L8">
        <v>2</v>
      </c>
    </row>
    <row r="9" spans="1:14" x14ac:dyDescent="0.2">
      <c r="A9">
        <v>2023</v>
      </c>
      <c r="B9">
        <v>1</v>
      </c>
      <c r="C9">
        <f>POWER(Pillar2_quarterly1419[[#This Row],[A1. Local production output]]*Pillar2_quarterly1419[[#This Row],[A2. Food self-sufficiency rate ]]*Pillar2_quarterly1419[[#This Row],[A3. Dietary diversity score]], 1/3)</f>
        <v>1.6359019275303879</v>
      </c>
      <c r="D9" s="3">
        <f>POWER(Pillar2_quarterly14[[#This Row],[Rice production (tons)]]*Pillar2_quarterly14[[#This Row],[Fishery production (tons)]]*Pillar2_quarterly14[[#This Row],[Meat production]], 1/3)</f>
        <v>1.656367119122335</v>
      </c>
      <c r="E9" s="3">
        <f>POWER(Pillar2_quarterly14[[#This Row],[Rice self-sufficiency rate]]*Pillar2_quarterly14[[#This Row],[Meat self-sufficiency rate]]*Pillar2_quarterly14[[#This Row],[Fish self-sufficiency rate]], 1/3)</f>
        <v>1.4984543550890317</v>
      </c>
      <c r="F9" s="3">
        <f>Pillar2_quarterly14[[#This Row],[% of expenditure on non-staple food groups.]]</f>
        <v>1.7638907120847365</v>
      </c>
      <c r="G9" s="3">
        <f>POWER(Pillar2_quarterly14[[#This Row],[Total markets/supermarkets]]*Pillar2_quarterly14[[#This Row],[PCI]], 1/2)</f>
        <v>1.5259577065897689</v>
      </c>
      <c r="H9" s="3">
        <f>POWER(Pillar2_quarterly1419[[#This Row],[C1.Import dependency ratio ]]*Pillar2_quarterly1419[[#This Row],[C2.Supplier concentration level]], 1/2)</f>
        <v>1.6975104523976201</v>
      </c>
      <c r="I9" s="3">
        <f>POWER(Pillar2_quarterly14[[#This Row],[Rice import rate]]+Pillar2_quarterly14[[#This Row],[Meat import rate]]+Pillar2_quarterly14[[#This Row],[Fish import rate]],1/3)</f>
        <v>1.498420758710445</v>
      </c>
      <c r="J9" s="3">
        <f>POWER(Pillar2_quarterly14[[#This Row],[Rice HHI for import partners]]*Pillar2_quarterly14[[#This Row],[Meat HHI for import partners]]*Pillar2_quarterly14[[#This Row],[Fish HHI for import partners]], 1/3)</f>
        <v>1.9230524665709083</v>
      </c>
    </row>
    <row r="10" spans="1:14" x14ac:dyDescent="0.2">
      <c r="A10">
        <v>2022</v>
      </c>
      <c r="B10">
        <v>4</v>
      </c>
      <c r="C10">
        <f>POWER(Pillar2_quarterly1419[[#This Row],[A1. Local production output]]*Pillar2_quarterly1419[[#This Row],[A2. Food self-sufficiency rate ]]*Pillar2_quarterly1419[[#This Row],[A3. Dietary diversity score]], 1/3)</f>
        <v>1.324782746590514</v>
      </c>
      <c r="D10" s="3">
        <f>POWER(Pillar2_quarterly14[[#This Row],[Rice production (tons)]]*Pillar2_quarterly14[[#This Row],[Fishery production (tons)]]*Pillar2_quarterly14[[#This Row],[Meat production]], 1/3)</f>
        <v>1.4203078785082861</v>
      </c>
      <c r="E10" s="3">
        <f>POWER(Pillar2_quarterly14[[#This Row],[Rice self-sufficiency rate]]*Pillar2_quarterly14[[#This Row],[Meat self-sufficiency rate]]*Pillar2_quarterly14[[#This Row],[Fish self-sufficiency rate]], 1/3)</f>
        <v>1.587406869407237</v>
      </c>
      <c r="F10" s="3">
        <f>Pillar2_quarterly14[[#This Row],[% of expenditure on non-staple food groups.]]</f>
        <v>1.0312482837108237</v>
      </c>
      <c r="G10" s="3">
        <f>POWER(Pillar2_quarterly14[[#This Row],[Total markets/supermarkets]]*Pillar2_quarterly14[[#This Row],[PCI]], 1/2)</f>
        <v>1.8932137557403068</v>
      </c>
      <c r="H10" s="3">
        <f>POWER(Pillar2_quarterly1419[[#This Row],[C1.Import dependency ratio ]]*Pillar2_quarterly1419[[#This Row],[C2.Supplier concentration level]], 1/2)</f>
        <v>1.678478973907809</v>
      </c>
      <c r="I10" s="3">
        <f>POWER(Pillar2_quarterly14[[#This Row],[Rice import rate]]+Pillar2_quarterly14[[#This Row],[Meat import rate]]+Pillar2_quarterly14[[#This Row],[Fish import rate]],1/3)</f>
        <v>1.542683000102782</v>
      </c>
      <c r="J10" s="3">
        <f>POWER(Pillar2_quarterly14[[#This Row],[Rice HHI for import partners]]*Pillar2_quarterly14[[#This Row],[Meat HHI for import partners]]*Pillar2_quarterly14[[#This Row],[Fish HHI for import partners]], 1/3)</f>
        <v>1.8262285029801379</v>
      </c>
    </row>
    <row r="11" spans="1:14" x14ac:dyDescent="0.2">
      <c r="A11">
        <v>2022</v>
      </c>
      <c r="B11">
        <v>3</v>
      </c>
      <c r="C11">
        <f>POWER(Pillar2_quarterly1419[[#This Row],[A1. Local production output]]*Pillar2_quarterly1419[[#This Row],[A2. Food self-sufficiency rate ]]*Pillar2_quarterly1419[[#This Row],[A3. Dietary diversity score]], 1/3)</f>
        <v>1.324782746590514</v>
      </c>
      <c r="D11" s="3">
        <f>POWER(Pillar2_quarterly14[[#This Row],[Rice production (tons)]]*Pillar2_quarterly14[[#This Row],[Fishery production (tons)]]*Pillar2_quarterly14[[#This Row],[Meat production]], 1/3)</f>
        <v>1.4203078785082861</v>
      </c>
      <c r="E11" s="3">
        <f>POWER(Pillar2_quarterly14[[#This Row],[Rice self-sufficiency rate]]*Pillar2_quarterly14[[#This Row],[Meat self-sufficiency rate]]*Pillar2_quarterly14[[#This Row],[Fish self-sufficiency rate]], 1/3)</f>
        <v>1.587406869407237</v>
      </c>
      <c r="F11" s="3">
        <f>Pillar2_quarterly14[[#This Row],[% of expenditure on non-staple food groups.]]</f>
        <v>1.0312482837108237</v>
      </c>
      <c r="G11" s="3">
        <f>POWER(Pillar2_quarterly14[[#This Row],[Total markets/supermarkets]]*Pillar2_quarterly14[[#This Row],[PCI]], 1/2)</f>
        <v>1.8932137557403068</v>
      </c>
      <c r="H11" s="3">
        <f>POWER(Pillar2_quarterly1419[[#This Row],[C1.Import dependency ratio ]]*Pillar2_quarterly1419[[#This Row],[C2.Supplier concentration level]], 1/2)</f>
        <v>1.678478973907809</v>
      </c>
      <c r="I11" s="3">
        <f>POWER(Pillar2_quarterly14[[#This Row],[Rice import rate]]+Pillar2_quarterly14[[#This Row],[Meat import rate]]+Pillar2_quarterly14[[#This Row],[Fish import rate]],1/3)</f>
        <v>1.542683000102782</v>
      </c>
      <c r="J11" s="3">
        <f>POWER(Pillar2_quarterly14[[#This Row],[Rice HHI for import partners]]*Pillar2_quarterly14[[#This Row],[Meat HHI for import partners]]*Pillar2_quarterly14[[#This Row],[Fish HHI for import partners]], 1/3)</f>
        <v>1.8262285029801379</v>
      </c>
      <c r="K11" t="s">
        <v>53</v>
      </c>
      <c r="L11">
        <v>2</v>
      </c>
    </row>
    <row r="12" spans="1:14" x14ac:dyDescent="0.2">
      <c r="A12">
        <v>2022</v>
      </c>
      <c r="B12">
        <v>2</v>
      </c>
      <c r="C12">
        <f>POWER(Pillar2_quarterly1419[[#This Row],[A1. Local production output]]*Pillar2_quarterly1419[[#This Row],[A2. Food self-sufficiency rate ]]*Pillar2_quarterly1419[[#This Row],[A3. Dietary diversity score]], 1/3)</f>
        <v>1.324782746590514</v>
      </c>
      <c r="D12" s="3">
        <f>POWER(Pillar2_quarterly14[[#This Row],[Rice production (tons)]]*Pillar2_quarterly14[[#This Row],[Fishery production (tons)]]*Pillar2_quarterly14[[#This Row],[Meat production]], 1/3)</f>
        <v>1.4203078785082861</v>
      </c>
      <c r="E12" s="3">
        <f>POWER(Pillar2_quarterly14[[#This Row],[Rice self-sufficiency rate]]*Pillar2_quarterly14[[#This Row],[Meat self-sufficiency rate]]*Pillar2_quarterly14[[#This Row],[Fish self-sufficiency rate]], 1/3)</f>
        <v>1.587406869407237</v>
      </c>
      <c r="F12" s="3">
        <f>Pillar2_quarterly14[[#This Row],[% of expenditure on non-staple food groups.]]</f>
        <v>1.0312482837108237</v>
      </c>
      <c r="G12" s="3">
        <f>POWER(Pillar2_quarterly14[[#This Row],[Total markets/supermarkets]]*Pillar2_quarterly14[[#This Row],[PCI]], 1/2)</f>
        <v>1.8932137557403068</v>
      </c>
      <c r="H12" s="3">
        <f>POWER(Pillar2_quarterly1419[[#This Row],[C1.Import dependency ratio ]]*Pillar2_quarterly1419[[#This Row],[C2.Supplier concentration level]], 1/2)</f>
        <v>1.678478973907809</v>
      </c>
      <c r="I12" s="3">
        <f>POWER(Pillar2_quarterly14[[#This Row],[Rice import rate]]+Pillar2_quarterly14[[#This Row],[Meat import rate]]+Pillar2_quarterly14[[#This Row],[Fish import rate]],1/3)</f>
        <v>1.542683000102782</v>
      </c>
      <c r="J12" s="3">
        <f>POWER(Pillar2_quarterly14[[#This Row],[Rice HHI for import partners]]*Pillar2_quarterly14[[#This Row],[Meat HHI for import partners]]*Pillar2_quarterly14[[#This Row],[Fish HHI for import partners]], 1/3)</f>
        <v>1.8262285029801379</v>
      </c>
      <c r="K12" t="s">
        <v>53</v>
      </c>
      <c r="L12">
        <v>2</v>
      </c>
    </row>
    <row r="13" spans="1:14" x14ac:dyDescent="0.2">
      <c r="A13">
        <v>2022</v>
      </c>
      <c r="B13">
        <v>1</v>
      </c>
      <c r="C13">
        <f>POWER(Pillar2_quarterly1419[[#This Row],[A1. Local production output]]*Pillar2_quarterly1419[[#This Row],[A2. Food self-sufficiency rate ]]*Pillar2_quarterly1419[[#This Row],[A3. Dietary diversity score]], 1/3)</f>
        <v>1.324782746590514</v>
      </c>
      <c r="D13" s="3">
        <f>POWER(Pillar2_quarterly14[[#This Row],[Rice production (tons)]]*Pillar2_quarterly14[[#This Row],[Fishery production (tons)]]*Pillar2_quarterly14[[#This Row],[Meat production]], 1/3)</f>
        <v>1.4203078785082861</v>
      </c>
      <c r="E13" s="3">
        <f>POWER(Pillar2_quarterly14[[#This Row],[Rice self-sufficiency rate]]*Pillar2_quarterly14[[#This Row],[Meat self-sufficiency rate]]*Pillar2_quarterly14[[#This Row],[Fish self-sufficiency rate]], 1/3)</f>
        <v>1.587406869407237</v>
      </c>
      <c r="F13" s="3">
        <f>Pillar2_quarterly14[[#This Row],[% of expenditure on non-staple food groups.]]</f>
        <v>1.0312482837108237</v>
      </c>
      <c r="G13" s="3">
        <f>POWER(Pillar2_quarterly14[[#This Row],[Total markets/supermarkets]]*Pillar2_quarterly14[[#This Row],[PCI]], 1/2)</f>
        <v>1.8932137557403068</v>
      </c>
      <c r="H13" s="3">
        <f>POWER(Pillar2_quarterly1419[[#This Row],[C1.Import dependency ratio ]]*Pillar2_quarterly1419[[#This Row],[C2.Supplier concentration level]], 1/2)</f>
        <v>1.678478973907809</v>
      </c>
      <c r="I13" s="3">
        <f>POWER(Pillar2_quarterly14[[#This Row],[Rice import rate]]+Pillar2_quarterly14[[#This Row],[Meat import rate]]+Pillar2_quarterly14[[#This Row],[Fish import rate]],1/3)</f>
        <v>1.542683000102782</v>
      </c>
      <c r="J13" s="3">
        <f>POWER(Pillar2_quarterly14[[#This Row],[Rice HHI for import partners]]*Pillar2_quarterly14[[#This Row],[Meat HHI for import partners]]*Pillar2_quarterly14[[#This Row],[Fish HHI for import partners]], 1/3)</f>
        <v>1.8262285029801379</v>
      </c>
    </row>
    <row r="14" spans="1:14" x14ac:dyDescent="0.2">
      <c r="A14">
        <v>2021</v>
      </c>
      <c r="B14">
        <v>4</v>
      </c>
      <c r="C14">
        <f>POWER(Pillar2_quarterly1419[[#This Row],[A1. Local production output]]*Pillar2_quarterly1419[[#This Row],[A2. Food self-sufficiency rate ]]*Pillar2_quarterly1419[[#This Row],[A3. Dietary diversity score]], 1/3)</f>
        <v>1.5980948167265341</v>
      </c>
      <c r="D14" s="3">
        <f>POWER(Pillar2_quarterly14[[#This Row],[Rice production (tons)]]*Pillar2_quarterly14[[#This Row],[Fishery production (tons)]]*Pillar2_quarterly14[[#This Row],[Meat production]], 1/3)</f>
        <v>1.6333821965854605</v>
      </c>
      <c r="E14" s="3">
        <f>POWER(Pillar2_quarterly14[[#This Row],[Rice self-sufficiency rate]]*Pillar2_quarterly14[[#This Row],[Meat self-sufficiency rate]]*Pillar2_quarterly14[[#This Row],[Fish self-sufficiency rate]], 1/3)</f>
        <v>1.4439543462376405</v>
      </c>
      <c r="F14" s="3">
        <f>Pillar2_quarterly14[[#This Row],[% of expenditure on non-staple food groups.]]</f>
        <v>1.7304790618652099</v>
      </c>
      <c r="G14" s="3">
        <f>POWER(Pillar2_quarterly14[[#This Row],[Total markets/supermarkets]]*Pillar2_quarterly14[[#This Row],[PCI]], 1/2)</f>
        <v>1.9623319598081153</v>
      </c>
      <c r="H14" s="3">
        <f>POWER(Pillar2_quarterly1419[[#This Row],[C1.Import dependency ratio ]]*Pillar2_quarterly1419[[#This Row],[C2.Supplier concentration level]], 1/2)</f>
        <v>1.6444533083084898</v>
      </c>
      <c r="I14" s="3">
        <f>POWER(Pillar2_quarterly14[[#This Row],[Rice import rate]]+Pillar2_quarterly14[[#This Row],[Meat import rate]]+Pillar2_quarterly14[[#This Row],[Fish import rate]],1/3)</f>
        <v>1.5550785983581974</v>
      </c>
      <c r="J14" s="3">
        <f>POWER(Pillar2_quarterly14[[#This Row],[Rice HHI for import partners]]*Pillar2_quarterly14[[#This Row],[Meat HHI for import partners]]*Pillar2_quarterly14[[#This Row],[Fish HHI for import partners]], 1/3)</f>
        <v>1.7389646324383692</v>
      </c>
    </row>
    <row r="15" spans="1:14" x14ac:dyDescent="0.2">
      <c r="A15">
        <v>2021</v>
      </c>
      <c r="B15">
        <v>3</v>
      </c>
      <c r="C15">
        <f>POWER(Pillar2_quarterly1419[[#This Row],[A1. Local production output]]*Pillar2_quarterly1419[[#This Row],[A2. Food self-sufficiency rate ]]*Pillar2_quarterly1419[[#This Row],[A3. Dietary diversity score]], 1/3)</f>
        <v>1.5980948167265341</v>
      </c>
      <c r="D15" s="3">
        <f>POWER(Pillar2_quarterly14[[#This Row],[Rice production (tons)]]*Pillar2_quarterly14[[#This Row],[Fishery production (tons)]]*Pillar2_quarterly14[[#This Row],[Meat production]], 1/3)</f>
        <v>1.6333821965854605</v>
      </c>
      <c r="E15" s="3">
        <f>POWER(Pillar2_quarterly14[[#This Row],[Rice self-sufficiency rate]]*Pillar2_quarterly14[[#This Row],[Meat self-sufficiency rate]]*Pillar2_quarterly14[[#This Row],[Fish self-sufficiency rate]], 1/3)</f>
        <v>1.4439543462376405</v>
      </c>
      <c r="F15" s="3">
        <f>Pillar2_quarterly14[[#This Row],[% of expenditure on non-staple food groups.]]</f>
        <v>1.7304790618652099</v>
      </c>
      <c r="G15" s="3">
        <f>POWER(Pillar2_quarterly14[[#This Row],[Total markets/supermarkets]]*Pillar2_quarterly14[[#This Row],[PCI]], 1/2)</f>
        <v>1.9623319598081153</v>
      </c>
      <c r="H15" s="3">
        <f>POWER(Pillar2_quarterly1419[[#This Row],[C1.Import dependency ratio ]]*Pillar2_quarterly1419[[#This Row],[C2.Supplier concentration level]], 1/2)</f>
        <v>1.6444533083084898</v>
      </c>
      <c r="I15" s="3">
        <f>POWER(Pillar2_quarterly14[[#This Row],[Rice import rate]]+Pillar2_quarterly14[[#This Row],[Meat import rate]]+Pillar2_quarterly14[[#This Row],[Fish import rate]],1/3)</f>
        <v>1.5550785983581974</v>
      </c>
      <c r="J15" s="3">
        <f>POWER(Pillar2_quarterly14[[#This Row],[Rice HHI for import partners]]*Pillar2_quarterly14[[#This Row],[Meat HHI for import partners]]*Pillar2_quarterly14[[#This Row],[Fish HHI for import partners]], 1/3)</f>
        <v>1.7389646324383692</v>
      </c>
      <c r="K15" t="s">
        <v>53</v>
      </c>
      <c r="L15">
        <v>3</v>
      </c>
    </row>
    <row r="16" spans="1:14" x14ac:dyDescent="0.2">
      <c r="A16">
        <v>2021</v>
      </c>
      <c r="B16">
        <v>2</v>
      </c>
      <c r="C16">
        <f>POWER(Pillar2_quarterly1419[[#This Row],[A1. Local production output]]*Pillar2_quarterly1419[[#This Row],[A2. Food self-sufficiency rate ]]*Pillar2_quarterly1419[[#This Row],[A3. Dietary diversity score]], 1/3)</f>
        <v>1.5980948167265341</v>
      </c>
      <c r="D16" s="3">
        <f>POWER(Pillar2_quarterly14[[#This Row],[Rice production (tons)]]*Pillar2_quarterly14[[#This Row],[Fishery production (tons)]]*Pillar2_quarterly14[[#This Row],[Meat production]], 1/3)</f>
        <v>1.6333821965854605</v>
      </c>
      <c r="E16" s="3">
        <f>POWER(Pillar2_quarterly14[[#This Row],[Rice self-sufficiency rate]]*Pillar2_quarterly14[[#This Row],[Meat self-sufficiency rate]]*Pillar2_quarterly14[[#This Row],[Fish self-sufficiency rate]], 1/3)</f>
        <v>1.4439543462376405</v>
      </c>
      <c r="F16" s="3">
        <f>Pillar2_quarterly14[[#This Row],[% of expenditure on non-staple food groups.]]</f>
        <v>1.7304790618652099</v>
      </c>
      <c r="G16" s="3">
        <f>POWER(Pillar2_quarterly14[[#This Row],[Total markets/supermarkets]]*Pillar2_quarterly14[[#This Row],[PCI]], 1/2)</f>
        <v>1.9623319598081153</v>
      </c>
      <c r="H16" s="3">
        <f>POWER(Pillar2_quarterly1419[[#This Row],[C1.Import dependency ratio ]]*Pillar2_quarterly1419[[#This Row],[C2.Supplier concentration level]], 1/2)</f>
        <v>1.6444533083084898</v>
      </c>
      <c r="I16" s="3">
        <f>POWER(Pillar2_quarterly14[[#This Row],[Rice import rate]]+Pillar2_quarterly14[[#This Row],[Meat import rate]]+Pillar2_quarterly14[[#This Row],[Fish import rate]],1/3)</f>
        <v>1.5550785983581974</v>
      </c>
      <c r="J16" s="3">
        <f>POWER(Pillar2_quarterly14[[#This Row],[Rice HHI for import partners]]*Pillar2_quarterly14[[#This Row],[Meat HHI for import partners]]*Pillar2_quarterly14[[#This Row],[Fish HHI for import partners]], 1/3)</f>
        <v>1.7389646324383692</v>
      </c>
      <c r="K16" t="s">
        <v>53</v>
      </c>
      <c r="L16" t="s">
        <v>117</v>
      </c>
    </row>
    <row r="17" spans="1:14" x14ac:dyDescent="0.2">
      <c r="A17">
        <v>2021</v>
      </c>
      <c r="B17">
        <v>1</v>
      </c>
      <c r="C17">
        <f>POWER(Pillar2_quarterly1419[[#This Row],[A1. Local production output]]*Pillar2_quarterly1419[[#This Row],[A2. Food self-sufficiency rate ]]*Pillar2_quarterly1419[[#This Row],[A3. Dietary diversity score]], 1/3)</f>
        <v>1.5980948167265341</v>
      </c>
      <c r="D17" s="3">
        <f>POWER(Pillar2_quarterly14[[#This Row],[Rice production (tons)]]*Pillar2_quarterly14[[#This Row],[Fishery production (tons)]]*Pillar2_quarterly14[[#This Row],[Meat production]], 1/3)</f>
        <v>1.6333821965854605</v>
      </c>
      <c r="E17" s="3">
        <f>POWER(Pillar2_quarterly14[[#This Row],[Rice self-sufficiency rate]]*Pillar2_quarterly14[[#This Row],[Meat self-sufficiency rate]]*Pillar2_quarterly14[[#This Row],[Fish self-sufficiency rate]], 1/3)</f>
        <v>1.4439543462376405</v>
      </c>
      <c r="F17" s="3">
        <f>Pillar2_quarterly14[[#This Row],[% of expenditure on non-staple food groups.]]</f>
        <v>1.7304790618652099</v>
      </c>
      <c r="G17" s="3">
        <f>POWER(Pillar2_quarterly14[[#This Row],[Total markets/supermarkets]]*Pillar2_quarterly14[[#This Row],[PCI]], 1/2)</f>
        <v>1.9623319598081153</v>
      </c>
      <c r="H17" s="3">
        <f>POWER(Pillar2_quarterly1419[[#This Row],[C1.Import dependency ratio ]]*Pillar2_quarterly1419[[#This Row],[C2.Supplier concentration level]], 1/2)</f>
        <v>1.6444533083084898</v>
      </c>
      <c r="I17" s="3">
        <f>POWER(Pillar2_quarterly14[[#This Row],[Rice import rate]]+Pillar2_quarterly14[[#This Row],[Meat import rate]]+Pillar2_quarterly14[[#This Row],[Fish import rate]],1/3)</f>
        <v>1.5550785983581974</v>
      </c>
      <c r="J17" s="3">
        <f>POWER(Pillar2_quarterly14[[#This Row],[Rice HHI for import partners]]*Pillar2_quarterly14[[#This Row],[Meat HHI for import partners]]*Pillar2_quarterly14[[#This Row],[Fish HHI for import partners]], 1/3)</f>
        <v>1.7389646324383692</v>
      </c>
      <c r="K17" t="s">
        <v>53</v>
      </c>
      <c r="L17">
        <v>2</v>
      </c>
    </row>
    <row r="18" spans="1:14" x14ac:dyDescent="0.2">
      <c r="A18">
        <v>2020</v>
      </c>
      <c r="B18">
        <v>4</v>
      </c>
      <c r="C18">
        <f>POWER(Pillar2_quarterly1419[[#This Row],[A1. Local production output]]*Pillar2_quarterly1419[[#This Row],[A2. Food self-sufficiency rate ]]*Pillar2_quarterly1419[[#This Row],[A3. Dietary diversity score]], 1/3)</f>
        <v>1.5814112484173635</v>
      </c>
      <c r="D18" s="3">
        <f>POWER(Pillar2_quarterly14[[#This Row],[Rice production (tons)]]*Pillar2_quarterly14[[#This Row],[Fishery production (tons)]]*Pillar2_quarterly14[[#This Row],[Meat production]], 1/3)</f>
        <v>1.3724361098824533</v>
      </c>
      <c r="E18" s="3">
        <f>POWER(Pillar2_quarterly14[[#This Row],[Rice self-sufficiency rate]]*Pillar2_quarterly14[[#This Row],[Meat self-sufficiency rate]]*Pillar2_quarterly14[[#This Row],[Fish self-sufficiency rate]], 1/3)</f>
        <v>1.4408286609004535</v>
      </c>
      <c r="F18" s="3">
        <f>Pillar2_quarterly14[[#This Row],[% of expenditure on non-staple food groups.]]</f>
        <v>2</v>
      </c>
      <c r="G18" s="3">
        <f>POWER(Pillar2_quarterly14[[#This Row],[Total markets/supermarkets]]*Pillar2_quarterly14[[#This Row],[PCI]], 1/2)</f>
        <v>1.8937733223828885</v>
      </c>
      <c r="H18" s="3">
        <f>POWER(Pillar2_quarterly1419[[#This Row],[C1.Import dependency ratio ]]*Pillar2_quarterly1419[[#This Row],[C2.Supplier concentration level]], 1/2)</f>
        <v>1.5765942874333014</v>
      </c>
      <c r="I18" s="3">
        <f>POWER(Pillar2_quarterly14[[#This Row],[Rice import rate]]+Pillar2_quarterly14[[#This Row],[Meat import rate]]+Pillar2_quarterly14[[#This Row],[Fish import rate]],1/3)</f>
        <v>1.6999362707793284</v>
      </c>
      <c r="J18" s="3">
        <f>POWER(Pillar2_quarterly14[[#This Row],[Rice HHI for import partners]]*Pillar2_quarterly14[[#This Row],[Meat HHI for import partners]]*Pillar2_quarterly14[[#This Row],[Fish HHI for import partners]], 1/3)</f>
        <v>1.4622016071389454</v>
      </c>
      <c r="K18" t="s">
        <v>38</v>
      </c>
      <c r="L18">
        <v>1</v>
      </c>
    </row>
    <row r="19" spans="1:14" x14ac:dyDescent="0.2">
      <c r="A19">
        <v>2020</v>
      </c>
      <c r="B19">
        <v>3</v>
      </c>
      <c r="C19">
        <f>POWER(Pillar2_quarterly1419[[#This Row],[A1. Local production output]]*Pillar2_quarterly1419[[#This Row],[A2. Food self-sufficiency rate ]]*Pillar2_quarterly1419[[#This Row],[A3. Dietary diversity score]], 1/3)</f>
        <v>1.5814112484173635</v>
      </c>
      <c r="D19" s="3">
        <f>POWER(Pillar2_quarterly14[[#This Row],[Rice production (tons)]]*Pillar2_quarterly14[[#This Row],[Fishery production (tons)]]*Pillar2_quarterly14[[#This Row],[Meat production]], 1/3)</f>
        <v>1.3724361098824533</v>
      </c>
      <c r="E19" s="3">
        <f>POWER(Pillar2_quarterly14[[#This Row],[Rice self-sufficiency rate]]*Pillar2_quarterly14[[#This Row],[Meat self-sufficiency rate]]*Pillar2_quarterly14[[#This Row],[Fish self-sufficiency rate]], 1/3)</f>
        <v>1.4408286609004535</v>
      </c>
      <c r="F19" s="3">
        <f>Pillar2_quarterly14[[#This Row],[% of expenditure on non-staple food groups.]]</f>
        <v>2</v>
      </c>
      <c r="G19" s="3">
        <f>POWER(Pillar2_quarterly14[[#This Row],[Total markets/supermarkets]]*Pillar2_quarterly14[[#This Row],[PCI]], 1/2)</f>
        <v>1.8937733223828885</v>
      </c>
      <c r="H19" s="3">
        <f>POWER(Pillar2_quarterly1419[[#This Row],[C1.Import dependency ratio ]]*Pillar2_quarterly1419[[#This Row],[C2.Supplier concentration level]], 1/2)</f>
        <v>1.5765942874333014</v>
      </c>
      <c r="I19" s="3">
        <f>POWER(Pillar2_quarterly14[[#This Row],[Rice import rate]]+Pillar2_quarterly14[[#This Row],[Meat import rate]]+Pillar2_quarterly14[[#This Row],[Fish import rate]],1/3)</f>
        <v>1.6999362707793284</v>
      </c>
      <c r="J19" s="3">
        <f>POWER(Pillar2_quarterly14[[#This Row],[Rice HHI for import partners]]*Pillar2_quarterly14[[#This Row],[Meat HHI for import partners]]*Pillar2_quarterly14[[#This Row],[Fish HHI for import partners]], 1/3)</f>
        <v>1.4622016071389454</v>
      </c>
      <c r="K19" t="s">
        <v>35</v>
      </c>
      <c r="L19">
        <v>1</v>
      </c>
    </row>
    <row r="20" spans="1:14" x14ac:dyDescent="0.2">
      <c r="A20">
        <v>2020</v>
      </c>
      <c r="B20">
        <v>2</v>
      </c>
      <c r="C20">
        <f>POWER(Pillar2_quarterly1419[[#This Row],[A1. Local production output]]*Pillar2_quarterly1419[[#This Row],[A2. Food self-sufficiency rate ]]*Pillar2_quarterly1419[[#This Row],[A3. Dietary diversity score]], 1/3)</f>
        <v>1.5814112484173635</v>
      </c>
      <c r="D20" s="3">
        <f>POWER(Pillar2_quarterly14[[#This Row],[Rice production (tons)]]*Pillar2_quarterly14[[#This Row],[Fishery production (tons)]]*Pillar2_quarterly14[[#This Row],[Meat production]], 1/3)</f>
        <v>1.3724361098824533</v>
      </c>
      <c r="E20" s="3">
        <f>POWER(Pillar2_quarterly14[[#This Row],[Rice self-sufficiency rate]]*Pillar2_quarterly14[[#This Row],[Meat self-sufficiency rate]]*Pillar2_quarterly14[[#This Row],[Fish self-sufficiency rate]], 1/3)</f>
        <v>1.4408286609004535</v>
      </c>
      <c r="F20" s="3">
        <f>Pillar2_quarterly14[[#This Row],[% of expenditure on non-staple food groups.]]</f>
        <v>2</v>
      </c>
      <c r="G20" s="3">
        <f>POWER(Pillar2_quarterly14[[#This Row],[Total markets/supermarkets]]*Pillar2_quarterly14[[#This Row],[PCI]], 1/2)</f>
        <v>1.8937733223828885</v>
      </c>
      <c r="H20" s="3">
        <f>POWER(Pillar2_quarterly1419[[#This Row],[C1.Import dependency ratio ]]*Pillar2_quarterly1419[[#This Row],[C2.Supplier concentration level]], 1/2)</f>
        <v>1.5765942874333014</v>
      </c>
      <c r="I20" s="3">
        <f>POWER(Pillar2_quarterly14[[#This Row],[Rice import rate]]+Pillar2_quarterly14[[#This Row],[Meat import rate]]+Pillar2_quarterly14[[#This Row],[Fish import rate]],1/3)</f>
        <v>1.6999362707793284</v>
      </c>
      <c r="J20" s="3">
        <f>POWER(Pillar2_quarterly14[[#This Row],[Rice HHI for import partners]]*Pillar2_quarterly14[[#This Row],[Meat HHI for import partners]]*Pillar2_quarterly14[[#This Row],[Fish HHI for import partners]], 1/3)</f>
        <v>1.4622016071389454</v>
      </c>
      <c r="K20" t="s">
        <v>35</v>
      </c>
      <c r="L20">
        <v>2</v>
      </c>
    </row>
    <row r="21" spans="1:14" x14ac:dyDescent="0.2">
      <c r="A21">
        <v>2020</v>
      </c>
      <c r="B21">
        <v>1</v>
      </c>
      <c r="C21">
        <f>POWER(Pillar2_quarterly1419[[#This Row],[A1. Local production output]]*Pillar2_quarterly1419[[#This Row],[A2. Food self-sufficiency rate ]]*Pillar2_quarterly1419[[#This Row],[A3. Dietary diversity score]], 1/3)</f>
        <v>1.5814112484173635</v>
      </c>
      <c r="D21" s="3">
        <f>POWER(Pillar2_quarterly14[[#This Row],[Rice production (tons)]]*Pillar2_quarterly14[[#This Row],[Fishery production (tons)]]*Pillar2_quarterly14[[#This Row],[Meat production]], 1/3)</f>
        <v>1.3724361098824533</v>
      </c>
      <c r="E21" s="3">
        <f>POWER(Pillar2_quarterly14[[#This Row],[Rice self-sufficiency rate]]*Pillar2_quarterly14[[#This Row],[Meat self-sufficiency rate]]*Pillar2_quarterly14[[#This Row],[Fish self-sufficiency rate]], 1/3)</f>
        <v>1.4408286609004535</v>
      </c>
      <c r="F21" s="3">
        <f>Pillar2_quarterly14[[#This Row],[% of expenditure on non-staple food groups.]]</f>
        <v>2</v>
      </c>
      <c r="G21" s="3">
        <f>POWER(Pillar2_quarterly14[[#This Row],[Total markets/supermarkets]]*Pillar2_quarterly14[[#This Row],[PCI]], 1/2)</f>
        <v>1.8937733223828885</v>
      </c>
      <c r="H21" s="3">
        <f>POWER(Pillar2_quarterly1419[[#This Row],[C1.Import dependency ratio ]]*Pillar2_quarterly1419[[#This Row],[C2.Supplier concentration level]], 1/2)</f>
        <v>1.5765942874333014</v>
      </c>
      <c r="I21" s="3">
        <f>POWER(Pillar2_quarterly14[[#This Row],[Rice import rate]]+Pillar2_quarterly14[[#This Row],[Meat import rate]]+Pillar2_quarterly14[[#This Row],[Fish import rate]],1/3)</f>
        <v>1.6999362707793284</v>
      </c>
      <c r="J21" s="3">
        <f>POWER(Pillar2_quarterly14[[#This Row],[Rice HHI for import partners]]*Pillar2_quarterly14[[#This Row],[Meat HHI for import partners]]*Pillar2_quarterly14[[#This Row],[Fish HHI for import partners]], 1/3)</f>
        <v>1.4622016071389454</v>
      </c>
    </row>
    <row r="22" spans="1:14" x14ac:dyDescent="0.2">
      <c r="A22">
        <v>2019</v>
      </c>
      <c r="B22">
        <v>4</v>
      </c>
      <c r="C22">
        <f>POWER(Pillar2_quarterly1419[[#This Row],[A1. Local production output]]*Pillar2_quarterly1419[[#This Row],[A2. Food self-sufficiency rate ]]*Pillar2_quarterly1419[[#This Row],[A3. Dietary diversity score]], 1/3)</f>
        <v>1.6194679398492131</v>
      </c>
      <c r="D22" s="3">
        <f>POWER(Pillar2_quarterly14[[#This Row],[Rice production (tons)]]*Pillar2_quarterly14[[#This Row],[Fishery production (tons)]]*Pillar2_quarterly14[[#This Row],[Meat production]], 1/3)</f>
        <v>1.5580014836638716</v>
      </c>
      <c r="E22" s="3">
        <f>POWER(Pillar2_quarterly14[[#This Row],[Rice self-sufficiency rate]]*Pillar2_quarterly14[[#This Row],[Meat self-sufficiency rate]]*Pillar2_quarterly14[[#This Row],[Fish self-sufficiency rate]], 1/3)</f>
        <v>1.4170736552385261</v>
      </c>
      <c r="F22" s="3">
        <f>Pillar2_quarterly14[[#This Row],[% of expenditure on non-staple food groups.]]</f>
        <v>1.923786059788251</v>
      </c>
      <c r="G22" s="3">
        <f>POWER(Pillar2_quarterly14[[#This Row],[Total markets/supermarkets]]*Pillar2_quarterly14[[#This Row],[PCI]], 1/2)</f>
        <v>1.6340134638368191</v>
      </c>
      <c r="H22" s="3">
        <f>POWER(Pillar2_quarterly1419[[#This Row],[C1.Import dependency ratio ]]*Pillar2_quarterly1419[[#This Row],[C2.Supplier concentration level]], 1/2)</f>
        <v>1.6119470009074381</v>
      </c>
      <c r="I22" s="3">
        <f>POWER(Pillar2_quarterly14[[#This Row],[Rice import rate]]+Pillar2_quarterly14[[#This Row],[Meat import rate]]+Pillar2_quarterly14[[#This Row],[Fish import rate]],1/3)</f>
        <v>1.6853935960877608</v>
      </c>
      <c r="J22" s="3">
        <f>POWER(Pillar2_quarterly14[[#This Row],[Rice HHI for import partners]]*Pillar2_quarterly14[[#This Row],[Meat HHI for import partners]]*Pillar2_quarterly14[[#This Row],[Fish HHI for import partners]], 1/3)</f>
        <v>1.5417010838097331</v>
      </c>
    </row>
    <row r="23" spans="1:14" x14ac:dyDescent="0.2">
      <c r="A23">
        <v>2019</v>
      </c>
      <c r="B23">
        <v>3</v>
      </c>
      <c r="C23">
        <f>POWER(Pillar2_quarterly1419[[#This Row],[A1. Local production output]]*Pillar2_quarterly1419[[#This Row],[A2. Food self-sufficiency rate ]]*Pillar2_quarterly1419[[#This Row],[A3. Dietary diversity score]], 1/3)</f>
        <v>1.6194679398492131</v>
      </c>
      <c r="D23" s="3">
        <f>POWER(Pillar2_quarterly14[[#This Row],[Rice production (tons)]]*Pillar2_quarterly14[[#This Row],[Fishery production (tons)]]*Pillar2_quarterly14[[#This Row],[Meat production]], 1/3)</f>
        <v>1.5580014836638716</v>
      </c>
      <c r="E23" s="3">
        <f>POWER(Pillar2_quarterly14[[#This Row],[Rice self-sufficiency rate]]*Pillar2_quarterly14[[#This Row],[Meat self-sufficiency rate]]*Pillar2_quarterly14[[#This Row],[Fish self-sufficiency rate]], 1/3)</f>
        <v>1.4170736552385261</v>
      </c>
      <c r="F23" s="3">
        <f>Pillar2_quarterly14[[#This Row],[% of expenditure on non-staple food groups.]]</f>
        <v>1.923786059788251</v>
      </c>
      <c r="G23" s="3">
        <f>POWER(Pillar2_quarterly14[[#This Row],[Total markets/supermarkets]]*Pillar2_quarterly14[[#This Row],[PCI]], 1/2)</f>
        <v>1.6340134638368191</v>
      </c>
      <c r="H23" s="3">
        <f>POWER(Pillar2_quarterly1419[[#This Row],[C1.Import dependency ratio ]]*Pillar2_quarterly1419[[#This Row],[C2.Supplier concentration level]], 1/2)</f>
        <v>1.6119470009074381</v>
      </c>
      <c r="I23" s="3">
        <f>POWER(Pillar2_quarterly14[[#This Row],[Rice import rate]]+Pillar2_quarterly14[[#This Row],[Meat import rate]]+Pillar2_quarterly14[[#This Row],[Fish import rate]],1/3)</f>
        <v>1.6853935960877608</v>
      </c>
      <c r="J23" s="3">
        <f>POWER(Pillar2_quarterly14[[#This Row],[Rice HHI for import partners]]*Pillar2_quarterly14[[#This Row],[Meat HHI for import partners]]*Pillar2_quarterly14[[#This Row],[Fish HHI for import partners]], 1/3)</f>
        <v>1.5417010838097331</v>
      </c>
      <c r="K23" t="s">
        <v>38</v>
      </c>
      <c r="L23">
        <v>1</v>
      </c>
      <c r="M23" t="s">
        <v>38</v>
      </c>
      <c r="N23">
        <v>1</v>
      </c>
    </row>
    <row r="24" spans="1:14" x14ac:dyDescent="0.2">
      <c r="A24">
        <v>2019</v>
      </c>
      <c r="B24">
        <v>2</v>
      </c>
      <c r="C24">
        <f>POWER(Pillar2_quarterly1419[[#This Row],[A1. Local production output]]*Pillar2_quarterly1419[[#This Row],[A2. Food self-sufficiency rate ]]*Pillar2_quarterly1419[[#This Row],[A3. Dietary diversity score]], 1/3)</f>
        <v>1.6194679398492131</v>
      </c>
      <c r="D24" s="3">
        <f>POWER(Pillar2_quarterly14[[#This Row],[Rice production (tons)]]*Pillar2_quarterly14[[#This Row],[Fishery production (tons)]]*Pillar2_quarterly14[[#This Row],[Meat production]], 1/3)</f>
        <v>1.5580014836638716</v>
      </c>
      <c r="E24" s="3">
        <f>POWER(Pillar2_quarterly14[[#This Row],[Rice self-sufficiency rate]]*Pillar2_quarterly14[[#This Row],[Meat self-sufficiency rate]]*Pillar2_quarterly14[[#This Row],[Fish self-sufficiency rate]], 1/3)</f>
        <v>1.4170736552385261</v>
      </c>
      <c r="F24" s="3">
        <f>Pillar2_quarterly14[[#This Row],[% of expenditure on non-staple food groups.]]</f>
        <v>1.923786059788251</v>
      </c>
      <c r="G24" s="3">
        <f>POWER(Pillar2_quarterly14[[#This Row],[Total markets/supermarkets]]*Pillar2_quarterly14[[#This Row],[PCI]], 1/2)</f>
        <v>1.6340134638368191</v>
      </c>
      <c r="H24" s="3">
        <f>POWER(Pillar2_quarterly1419[[#This Row],[C1.Import dependency ratio ]]*Pillar2_quarterly1419[[#This Row],[C2.Supplier concentration level]], 1/2)</f>
        <v>1.6119470009074381</v>
      </c>
      <c r="I24" s="3">
        <f>POWER(Pillar2_quarterly14[[#This Row],[Rice import rate]]+Pillar2_quarterly14[[#This Row],[Meat import rate]]+Pillar2_quarterly14[[#This Row],[Fish import rate]],1/3)</f>
        <v>1.6853935960877608</v>
      </c>
      <c r="J24" s="3">
        <f>POWER(Pillar2_quarterly14[[#This Row],[Rice HHI for import partners]]*Pillar2_quarterly14[[#This Row],[Meat HHI for import partners]]*Pillar2_quarterly14[[#This Row],[Fish HHI for import partners]], 1/3)</f>
        <v>1.5417010838097331</v>
      </c>
      <c r="K24" t="s">
        <v>38</v>
      </c>
      <c r="L24">
        <v>2</v>
      </c>
    </row>
    <row r="25" spans="1:14" x14ac:dyDescent="0.2">
      <c r="A25">
        <v>2019</v>
      </c>
      <c r="B25">
        <v>1</v>
      </c>
      <c r="C25">
        <f>POWER(Pillar2_quarterly1419[[#This Row],[A1. Local production output]]*Pillar2_quarterly1419[[#This Row],[A2. Food self-sufficiency rate ]]*Pillar2_quarterly1419[[#This Row],[A3. Dietary diversity score]], 1/3)</f>
        <v>1.6194679398492131</v>
      </c>
      <c r="D25" s="3">
        <f>POWER(Pillar2_quarterly14[[#This Row],[Rice production (tons)]]*Pillar2_quarterly14[[#This Row],[Fishery production (tons)]]*Pillar2_quarterly14[[#This Row],[Meat production]], 1/3)</f>
        <v>1.5580014836638716</v>
      </c>
      <c r="E25" s="3">
        <f>POWER(Pillar2_quarterly14[[#This Row],[Rice self-sufficiency rate]]*Pillar2_quarterly14[[#This Row],[Meat self-sufficiency rate]]*Pillar2_quarterly14[[#This Row],[Fish self-sufficiency rate]], 1/3)</f>
        <v>1.4170736552385261</v>
      </c>
      <c r="F25" s="3">
        <f>Pillar2_quarterly14[[#This Row],[% of expenditure on non-staple food groups.]]</f>
        <v>1.923786059788251</v>
      </c>
      <c r="G25" s="3">
        <f>POWER(Pillar2_quarterly14[[#This Row],[Total markets/supermarkets]]*Pillar2_quarterly14[[#This Row],[PCI]], 1/2)</f>
        <v>1.6340134638368191</v>
      </c>
      <c r="H25" s="3">
        <f>POWER(Pillar2_quarterly1419[[#This Row],[C1.Import dependency ratio ]]*Pillar2_quarterly1419[[#This Row],[C2.Supplier concentration level]], 1/2)</f>
        <v>1.6119470009074381</v>
      </c>
      <c r="I25" s="3">
        <f>POWER(Pillar2_quarterly14[[#This Row],[Rice import rate]]+Pillar2_quarterly14[[#This Row],[Meat import rate]]+Pillar2_quarterly14[[#This Row],[Fish import rate]],1/3)</f>
        <v>1.6853935960877608</v>
      </c>
      <c r="J25" s="3">
        <f>POWER(Pillar2_quarterly14[[#This Row],[Rice HHI for import partners]]*Pillar2_quarterly14[[#This Row],[Meat HHI for import partners]]*Pillar2_quarterly14[[#This Row],[Fish HHI for import partners]], 1/3)</f>
        <v>1.5417010838097331</v>
      </c>
    </row>
    <row r="26" spans="1:14" x14ac:dyDescent="0.2">
      <c r="A26">
        <v>2018</v>
      </c>
      <c r="B26">
        <v>4</v>
      </c>
      <c r="C26">
        <f>POWER(Pillar2_quarterly1419[[#This Row],[A1. Local production output]]*Pillar2_quarterly1419[[#This Row],[A2. Food self-sufficiency rate ]]*Pillar2_quarterly1419[[#This Row],[A3. Dietary diversity score]], 1/3)</f>
        <v>1.5346034362718046</v>
      </c>
      <c r="D26" s="3">
        <f>POWER(Pillar2_quarterly14[[#This Row],[Rice production (tons)]]*Pillar2_quarterly14[[#This Row],[Fishery production (tons)]]*Pillar2_quarterly14[[#This Row],[Meat production]], 1/3)</f>
        <v>1.4077873700732719</v>
      </c>
      <c r="E26" s="3">
        <f>POWER(Pillar2_quarterly14[[#This Row],[Rice self-sufficiency rate]]*Pillar2_quarterly14[[#This Row],[Meat self-sufficiency rate]]*Pillar2_quarterly14[[#This Row],[Fish self-sufficiency rate]], 1/3)</f>
        <v>1.5033040971028591</v>
      </c>
      <c r="F26" s="3">
        <f>Pillar2_quarterly14[[#This Row],[% of expenditure on non-staple food groups.]]</f>
        <v>1.7076725338200553</v>
      </c>
      <c r="G26" s="3">
        <f>POWER(Pillar2_quarterly14[[#This Row],[Total markets/supermarkets]]*Pillar2_quarterly14[[#This Row],[PCI]], 1/2)</f>
        <v>1.4648212559238267</v>
      </c>
      <c r="H26" s="3">
        <f>POWER(Pillar2_quarterly1419[[#This Row],[C1.Import dependency ratio ]]*Pillar2_quarterly1419[[#This Row],[C2.Supplier concentration level]], 1/2)</f>
        <v>1.6700961072137157</v>
      </c>
      <c r="I26" s="3">
        <f>POWER(Pillar2_quarterly14[[#This Row],[Rice import rate]]+Pillar2_quarterly14[[#This Row],[Meat import rate]]+Pillar2_quarterly14[[#This Row],[Fish import rate]],1/3)</f>
        <v>1.7400810414752346</v>
      </c>
      <c r="J26" s="3">
        <f>POWER(Pillar2_quarterly14[[#This Row],[Rice HHI for import partners]]*Pillar2_quarterly14[[#This Row],[Meat HHI for import partners]]*Pillar2_quarterly14[[#This Row],[Fish HHI for import partners]], 1/3)</f>
        <v>1.6029259217523086</v>
      </c>
    </row>
    <row r="27" spans="1:14" x14ac:dyDescent="0.2">
      <c r="A27">
        <v>2018</v>
      </c>
      <c r="B27">
        <v>3</v>
      </c>
      <c r="C27">
        <f>POWER(Pillar2_quarterly1419[[#This Row],[A1. Local production output]]*Pillar2_quarterly1419[[#This Row],[A2. Food self-sufficiency rate ]]*Pillar2_quarterly1419[[#This Row],[A3. Dietary diversity score]], 1/3)</f>
        <v>1.5346034362718046</v>
      </c>
      <c r="D27" s="3">
        <f>POWER(Pillar2_quarterly14[[#This Row],[Rice production (tons)]]*Pillar2_quarterly14[[#This Row],[Fishery production (tons)]]*Pillar2_quarterly14[[#This Row],[Meat production]], 1/3)</f>
        <v>1.4077873700732719</v>
      </c>
      <c r="E27" s="3">
        <f>POWER(Pillar2_quarterly14[[#This Row],[Rice self-sufficiency rate]]*Pillar2_quarterly14[[#This Row],[Meat self-sufficiency rate]]*Pillar2_quarterly14[[#This Row],[Fish self-sufficiency rate]], 1/3)</f>
        <v>1.5033040971028591</v>
      </c>
      <c r="F27" s="3">
        <f>Pillar2_quarterly14[[#This Row],[% of expenditure on non-staple food groups.]]</f>
        <v>1.7076725338200553</v>
      </c>
      <c r="G27" s="3">
        <f>POWER(Pillar2_quarterly14[[#This Row],[Total markets/supermarkets]]*Pillar2_quarterly14[[#This Row],[PCI]], 1/2)</f>
        <v>1.4648212559238267</v>
      </c>
      <c r="H27" s="3">
        <f>POWER(Pillar2_quarterly1419[[#This Row],[C1.Import dependency ratio ]]*Pillar2_quarterly1419[[#This Row],[C2.Supplier concentration level]], 1/2)</f>
        <v>1.6700961072137157</v>
      </c>
      <c r="I27" s="3">
        <f>POWER(Pillar2_quarterly14[[#This Row],[Rice import rate]]+Pillar2_quarterly14[[#This Row],[Meat import rate]]+Pillar2_quarterly14[[#This Row],[Fish import rate]],1/3)</f>
        <v>1.7400810414752346</v>
      </c>
      <c r="J27" s="3">
        <f>POWER(Pillar2_quarterly14[[#This Row],[Rice HHI for import partners]]*Pillar2_quarterly14[[#This Row],[Meat HHI for import partners]]*Pillar2_quarterly14[[#This Row],[Fish HHI for import partners]], 1/3)</f>
        <v>1.6029259217523086</v>
      </c>
      <c r="K27" t="s">
        <v>53</v>
      </c>
      <c r="L27">
        <v>2</v>
      </c>
    </row>
    <row r="28" spans="1:14" x14ac:dyDescent="0.2">
      <c r="A28">
        <v>2018</v>
      </c>
      <c r="B28">
        <v>2</v>
      </c>
      <c r="C28">
        <f>POWER(Pillar2_quarterly1419[[#This Row],[A1. Local production output]]*Pillar2_quarterly1419[[#This Row],[A2. Food self-sufficiency rate ]]*Pillar2_quarterly1419[[#This Row],[A3. Dietary diversity score]], 1/3)</f>
        <v>1.5346034362718046</v>
      </c>
      <c r="D28" s="3">
        <f>POWER(Pillar2_quarterly14[[#This Row],[Rice production (tons)]]*Pillar2_quarterly14[[#This Row],[Fishery production (tons)]]*Pillar2_quarterly14[[#This Row],[Meat production]], 1/3)</f>
        <v>1.4077873700732719</v>
      </c>
      <c r="E28" s="3">
        <f>POWER(Pillar2_quarterly14[[#This Row],[Rice self-sufficiency rate]]*Pillar2_quarterly14[[#This Row],[Meat self-sufficiency rate]]*Pillar2_quarterly14[[#This Row],[Fish self-sufficiency rate]], 1/3)</f>
        <v>1.5033040971028591</v>
      </c>
      <c r="F28" s="3">
        <f>Pillar2_quarterly14[[#This Row],[% of expenditure on non-staple food groups.]]</f>
        <v>1.7076725338200553</v>
      </c>
      <c r="G28" s="3">
        <f>POWER(Pillar2_quarterly14[[#This Row],[Total markets/supermarkets]]*Pillar2_quarterly14[[#This Row],[PCI]], 1/2)</f>
        <v>1.4648212559238267</v>
      </c>
      <c r="H28" s="3">
        <f>POWER(Pillar2_quarterly1419[[#This Row],[C1.Import dependency ratio ]]*Pillar2_quarterly1419[[#This Row],[C2.Supplier concentration level]], 1/2)</f>
        <v>1.6700961072137157</v>
      </c>
      <c r="I28" s="3">
        <f>POWER(Pillar2_quarterly14[[#This Row],[Rice import rate]]+Pillar2_quarterly14[[#This Row],[Meat import rate]]+Pillar2_quarterly14[[#This Row],[Fish import rate]],1/3)</f>
        <v>1.7400810414752346</v>
      </c>
      <c r="J28" s="3">
        <f>POWER(Pillar2_quarterly14[[#This Row],[Rice HHI for import partners]]*Pillar2_quarterly14[[#This Row],[Meat HHI for import partners]]*Pillar2_quarterly14[[#This Row],[Fish HHI for import partners]], 1/3)</f>
        <v>1.6029259217523086</v>
      </c>
    </row>
    <row r="29" spans="1:14" x14ac:dyDescent="0.2">
      <c r="A29">
        <v>2018</v>
      </c>
      <c r="B29">
        <v>1</v>
      </c>
      <c r="C29">
        <f>POWER(Pillar2_quarterly1419[[#This Row],[A1. Local production output]]*Pillar2_quarterly1419[[#This Row],[A2. Food self-sufficiency rate ]]*Pillar2_quarterly1419[[#This Row],[A3. Dietary diversity score]], 1/3)</f>
        <v>1.5346034362718046</v>
      </c>
      <c r="D29" s="3">
        <f>POWER(Pillar2_quarterly14[[#This Row],[Rice production (tons)]]*Pillar2_quarterly14[[#This Row],[Fishery production (tons)]]*Pillar2_quarterly14[[#This Row],[Meat production]], 1/3)</f>
        <v>1.4077873700732719</v>
      </c>
      <c r="E29" s="3">
        <f>POWER(Pillar2_quarterly14[[#This Row],[Rice self-sufficiency rate]]*Pillar2_quarterly14[[#This Row],[Meat self-sufficiency rate]]*Pillar2_quarterly14[[#This Row],[Fish self-sufficiency rate]], 1/3)</f>
        <v>1.5033040971028591</v>
      </c>
      <c r="F29" s="3">
        <f>Pillar2_quarterly14[[#This Row],[% of expenditure on non-staple food groups.]]</f>
        <v>1.7076725338200553</v>
      </c>
      <c r="G29" s="3">
        <f>POWER(Pillar2_quarterly14[[#This Row],[Total markets/supermarkets]]*Pillar2_quarterly14[[#This Row],[PCI]], 1/2)</f>
        <v>1.4648212559238267</v>
      </c>
      <c r="H29" s="3">
        <f>POWER(Pillar2_quarterly1419[[#This Row],[C1.Import dependency ratio ]]*Pillar2_quarterly1419[[#This Row],[C2.Supplier concentration level]], 1/2)</f>
        <v>1.6700961072137157</v>
      </c>
      <c r="I29" s="3">
        <f>POWER(Pillar2_quarterly14[[#This Row],[Rice import rate]]+Pillar2_quarterly14[[#This Row],[Meat import rate]]+Pillar2_quarterly14[[#This Row],[Fish import rate]],1/3)</f>
        <v>1.7400810414752346</v>
      </c>
      <c r="J29" s="3">
        <f>POWER(Pillar2_quarterly14[[#This Row],[Rice HHI for import partners]]*Pillar2_quarterly14[[#This Row],[Meat HHI for import partners]]*Pillar2_quarterly14[[#This Row],[Fish HHI for import partners]], 1/3)</f>
        <v>1.6029259217523086</v>
      </c>
      <c r="K29" t="s">
        <v>35</v>
      </c>
      <c r="L29">
        <v>2</v>
      </c>
    </row>
    <row r="30" spans="1:14" x14ac:dyDescent="0.2">
      <c r="A30">
        <v>2017</v>
      </c>
      <c r="B30">
        <v>4</v>
      </c>
      <c r="C30">
        <f>POWER(Pillar2_quarterly1419[[#This Row],[A1. Local production output]]*Pillar2_quarterly1419[[#This Row],[A2. Food self-sufficiency rate ]]*Pillar2_quarterly1419[[#This Row],[A3. Dietary diversity score]], 1/3)</f>
        <v>1.6563282749070183</v>
      </c>
      <c r="D30" s="3">
        <f>POWER(Pillar2_quarterly14[[#This Row],[Rice production (tons)]]*Pillar2_quarterly14[[#This Row],[Fishery production (tons)]]*Pillar2_quarterly14[[#This Row],[Meat production]], 1/3)</f>
        <v>1.6040227149003732</v>
      </c>
      <c r="E30" s="3">
        <f>POWER(Pillar2_quarterly14[[#This Row],[Rice self-sufficiency rate]]*Pillar2_quarterly14[[#This Row],[Meat self-sufficiency rate]]*Pillar2_quarterly14[[#This Row],[Fish self-sufficiency rate]], 1/3)</f>
        <v>1.738703995798055</v>
      </c>
      <c r="F30" s="3">
        <f>Pillar2_quarterly14[[#This Row],[% of expenditure on non-staple food groups.]]</f>
        <v>1.6293075904196135</v>
      </c>
      <c r="G30" s="3">
        <f>POWER(Pillar2_quarterly14[[#This Row],[Total markets/supermarkets]]*Pillar2_quarterly14[[#This Row],[PCI]], 1/2)</f>
        <v>1.4057633281649224</v>
      </c>
      <c r="H30" s="3">
        <f>POWER(Pillar2_quarterly1419[[#This Row],[C1.Import dependency ratio ]]*Pillar2_quarterly1419[[#This Row],[C2.Supplier concentration level]], 1/2)</f>
        <v>1.4514042093356978</v>
      </c>
      <c r="I30" s="3">
        <f>POWER(Pillar2_quarterly14[[#This Row],[Rice import rate]]+Pillar2_quarterly14[[#This Row],[Meat import rate]]+Pillar2_quarterly14[[#This Row],[Fish import rate]],1/3)</f>
        <v>1.7062651661837585</v>
      </c>
      <c r="J30" s="3">
        <f>POWER(Pillar2_quarterly14[[#This Row],[Rice HHI for import partners]]*Pillar2_quarterly14[[#This Row],[Meat HHI for import partners]]*Pillar2_quarterly14[[#This Row],[Fish HHI for import partners]], 1/3)</f>
        <v>1.234611255405839</v>
      </c>
    </row>
    <row r="31" spans="1:14" x14ac:dyDescent="0.2">
      <c r="A31">
        <v>2017</v>
      </c>
      <c r="B31">
        <v>3</v>
      </c>
      <c r="C31">
        <f>POWER(Pillar2_quarterly1419[[#This Row],[A1. Local production output]]*Pillar2_quarterly1419[[#This Row],[A2. Food self-sufficiency rate ]]*Pillar2_quarterly1419[[#This Row],[A3. Dietary diversity score]], 1/3)</f>
        <v>1.6563282749070183</v>
      </c>
      <c r="D31" s="3">
        <f>POWER(Pillar2_quarterly14[[#This Row],[Rice production (tons)]]*Pillar2_quarterly14[[#This Row],[Fishery production (tons)]]*Pillar2_quarterly14[[#This Row],[Meat production]], 1/3)</f>
        <v>1.6040227149003732</v>
      </c>
      <c r="E31" s="3">
        <f>POWER(Pillar2_quarterly14[[#This Row],[Rice self-sufficiency rate]]*Pillar2_quarterly14[[#This Row],[Meat self-sufficiency rate]]*Pillar2_quarterly14[[#This Row],[Fish self-sufficiency rate]], 1/3)</f>
        <v>1.738703995798055</v>
      </c>
      <c r="F31" s="3">
        <f>Pillar2_quarterly14[[#This Row],[% of expenditure on non-staple food groups.]]</f>
        <v>1.6293075904196135</v>
      </c>
      <c r="G31" s="3">
        <f>POWER(Pillar2_quarterly14[[#This Row],[Total markets/supermarkets]]*Pillar2_quarterly14[[#This Row],[PCI]], 1/2)</f>
        <v>1.4057633281649224</v>
      </c>
      <c r="H31" s="3">
        <f>POWER(Pillar2_quarterly1419[[#This Row],[C1.Import dependency ratio ]]*Pillar2_quarterly1419[[#This Row],[C2.Supplier concentration level]], 1/2)</f>
        <v>1.4514042093356978</v>
      </c>
      <c r="I31" s="3">
        <f>POWER(Pillar2_quarterly14[[#This Row],[Rice import rate]]+Pillar2_quarterly14[[#This Row],[Meat import rate]]+Pillar2_quarterly14[[#This Row],[Fish import rate]],1/3)</f>
        <v>1.7062651661837585</v>
      </c>
      <c r="J31" s="3">
        <f>POWER(Pillar2_quarterly14[[#This Row],[Rice HHI for import partners]]*Pillar2_quarterly14[[#This Row],[Meat HHI for import partners]]*Pillar2_quarterly14[[#This Row],[Fish HHI for import partners]], 1/3)</f>
        <v>1.234611255405839</v>
      </c>
    </row>
    <row r="32" spans="1:14" x14ac:dyDescent="0.2">
      <c r="A32">
        <v>2017</v>
      </c>
      <c r="B32">
        <v>2</v>
      </c>
      <c r="C32">
        <f>POWER(Pillar2_quarterly1419[[#This Row],[A1. Local production output]]*Pillar2_quarterly1419[[#This Row],[A2. Food self-sufficiency rate ]]*Pillar2_quarterly1419[[#This Row],[A3. Dietary diversity score]], 1/3)</f>
        <v>1.6563282749070183</v>
      </c>
      <c r="D32" s="3">
        <f>POWER(Pillar2_quarterly14[[#This Row],[Rice production (tons)]]*Pillar2_quarterly14[[#This Row],[Fishery production (tons)]]*Pillar2_quarterly14[[#This Row],[Meat production]], 1/3)</f>
        <v>1.6040227149003732</v>
      </c>
      <c r="E32" s="3">
        <f>POWER(Pillar2_quarterly14[[#This Row],[Rice self-sufficiency rate]]*Pillar2_quarterly14[[#This Row],[Meat self-sufficiency rate]]*Pillar2_quarterly14[[#This Row],[Fish self-sufficiency rate]], 1/3)</f>
        <v>1.738703995798055</v>
      </c>
      <c r="F32" s="3">
        <f>Pillar2_quarterly14[[#This Row],[% of expenditure on non-staple food groups.]]</f>
        <v>1.6293075904196135</v>
      </c>
      <c r="G32" s="3">
        <f>POWER(Pillar2_quarterly14[[#This Row],[Total markets/supermarkets]]*Pillar2_quarterly14[[#This Row],[PCI]], 1/2)</f>
        <v>1.4057633281649224</v>
      </c>
      <c r="H32" s="3">
        <f>POWER(Pillar2_quarterly1419[[#This Row],[C1.Import dependency ratio ]]*Pillar2_quarterly1419[[#This Row],[C2.Supplier concentration level]], 1/2)</f>
        <v>1.4514042093356978</v>
      </c>
      <c r="I32" s="3">
        <f>POWER(Pillar2_quarterly14[[#This Row],[Rice import rate]]+Pillar2_quarterly14[[#This Row],[Meat import rate]]+Pillar2_quarterly14[[#This Row],[Fish import rate]],1/3)</f>
        <v>1.7062651661837585</v>
      </c>
      <c r="J32" s="3">
        <f>POWER(Pillar2_quarterly14[[#This Row],[Rice HHI for import partners]]*Pillar2_quarterly14[[#This Row],[Meat HHI for import partners]]*Pillar2_quarterly14[[#This Row],[Fish HHI for import partners]], 1/3)</f>
        <v>1.234611255405839</v>
      </c>
    </row>
    <row r="33" spans="1:14" x14ac:dyDescent="0.2">
      <c r="A33">
        <v>2017</v>
      </c>
      <c r="B33">
        <v>1</v>
      </c>
      <c r="C33">
        <f>POWER(Pillar2_quarterly1419[[#This Row],[A1. Local production output]]*Pillar2_quarterly1419[[#This Row],[A2. Food self-sufficiency rate ]]*Pillar2_quarterly1419[[#This Row],[A3. Dietary diversity score]], 1/3)</f>
        <v>1.6563282749070183</v>
      </c>
      <c r="D33" s="3">
        <f>POWER(Pillar2_quarterly14[[#This Row],[Rice production (tons)]]*Pillar2_quarterly14[[#This Row],[Fishery production (tons)]]*Pillar2_quarterly14[[#This Row],[Meat production]], 1/3)</f>
        <v>1.6040227149003732</v>
      </c>
      <c r="E33" s="3">
        <f>POWER(Pillar2_quarterly14[[#This Row],[Rice self-sufficiency rate]]*Pillar2_quarterly14[[#This Row],[Meat self-sufficiency rate]]*Pillar2_quarterly14[[#This Row],[Fish self-sufficiency rate]], 1/3)</f>
        <v>1.738703995798055</v>
      </c>
      <c r="F33" s="3">
        <f>Pillar2_quarterly14[[#This Row],[% of expenditure on non-staple food groups.]]</f>
        <v>1.6293075904196135</v>
      </c>
      <c r="G33" s="3">
        <f>POWER(Pillar2_quarterly14[[#This Row],[Total markets/supermarkets]]*Pillar2_quarterly14[[#This Row],[PCI]], 1/2)</f>
        <v>1.4057633281649224</v>
      </c>
      <c r="H33" s="3">
        <f>POWER(Pillar2_quarterly1419[[#This Row],[C1.Import dependency ratio ]]*Pillar2_quarterly1419[[#This Row],[C2.Supplier concentration level]], 1/2)</f>
        <v>1.4514042093356978</v>
      </c>
      <c r="I33" s="3">
        <f>POWER(Pillar2_quarterly14[[#This Row],[Rice import rate]]+Pillar2_quarterly14[[#This Row],[Meat import rate]]+Pillar2_quarterly14[[#This Row],[Fish import rate]],1/3)</f>
        <v>1.7062651661837585</v>
      </c>
      <c r="J33" s="3">
        <f>POWER(Pillar2_quarterly14[[#This Row],[Rice HHI for import partners]]*Pillar2_quarterly14[[#This Row],[Meat HHI for import partners]]*Pillar2_quarterly14[[#This Row],[Fish HHI for import partners]], 1/3)</f>
        <v>1.234611255405839</v>
      </c>
    </row>
    <row r="34" spans="1:14" x14ac:dyDescent="0.2">
      <c r="A34">
        <v>2016</v>
      </c>
      <c r="B34">
        <v>4</v>
      </c>
      <c r="C34">
        <f>POWER(Pillar2_quarterly1419[[#This Row],[A1. Local production output]]*Pillar2_quarterly1419[[#This Row],[A2. Food self-sufficiency rate ]]*Pillar2_quarterly1419[[#This Row],[A3. Dietary diversity score]], 1/3)</f>
        <v>1.5956509765936415</v>
      </c>
      <c r="D34" s="3">
        <f>POWER(Pillar2_quarterly14[[#This Row],[Rice production (tons)]]*Pillar2_quarterly14[[#This Row],[Fishery production (tons)]]*Pillar2_quarterly14[[#This Row],[Meat production]], 1/3)</f>
        <v>1.3721843524836761</v>
      </c>
      <c r="E34" s="3">
        <f>POWER(Pillar2_quarterly14[[#This Row],[Rice self-sufficiency rate]]*Pillar2_quarterly14[[#This Row],[Meat self-sufficiency rate]]*Pillar2_quarterly14[[#This Row],[Fish self-sufficiency rate]], 1/3)</f>
        <v>1.9140661000932992</v>
      </c>
      <c r="F34" s="3">
        <f>Pillar2_quarterly14[[#This Row],[% of expenditure on non-staple food groups.]]</f>
        <v>1.5468361492718234</v>
      </c>
      <c r="G34" s="3">
        <f>POWER(Pillar2_quarterly14[[#This Row],[Total markets/supermarkets]]*Pillar2_quarterly14[[#This Row],[PCI]], 1/2)</f>
        <v>1.215490333469095</v>
      </c>
      <c r="H34" s="3">
        <f>POWER(Pillar2_quarterly1419[[#This Row],[C1.Import dependency ratio ]]*Pillar2_quarterly1419[[#This Row],[C2.Supplier concentration level]], 1/2)</f>
        <v>1.5668683248375954</v>
      </c>
      <c r="I34" s="3">
        <f>POWER(Pillar2_quarterly14[[#This Row],[Rice import rate]]+Pillar2_quarterly14[[#This Row],[Meat import rate]]+Pillar2_quarterly14[[#This Row],[Fish import rate]],1/3)</f>
        <v>1.6561619426294336</v>
      </c>
      <c r="J34" s="3">
        <f>POWER(Pillar2_quarterly14[[#This Row],[Rice HHI for import partners]]*Pillar2_quarterly14[[#This Row],[Meat HHI for import partners]]*Pillar2_quarterly14[[#This Row],[Fish HHI for import partners]], 1/3)</f>
        <v>1.4823890612300441</v>
      </c>
      <c r="K34" t="s">
        <v>38</v>
      </c>
      <c r="L34">
        <v>1</v>
      </c>
    </row>
    <row r="35" spans="1:14" x14ac:dyDescent="0.2">
      <c r="A35">
        <v>2016</v>
      </c>
      <c r="B35">
        <v>3</v>
      </c>
      <c r="C35">
        <f>POWER(Pillar2_quarterly1419[[#This Row],[A1. Local production output]]*Pillar2_quarterly1419[[#This Row],[A2. Food self-sufficiency rate ]]*Pillar2_quarterly1419[[#This Row],[A3. Dietary diversity score]], 1/3)</f>
        <v>1.5956509765936415</v>
      </c>
      <c r="D35" s="3">
        <f>POWER(Pillar2_quarterly14[[#This Row],[Rice production (tons)]]*Pillar2_quarterly14[[#This Row],[Fishery production (tons)]]*Pillar2_quarterly14[[#This Row],[Meat production]], 1/3)</f>
        <v>1.3721843524836761</v>
      </c>
      <c r="E35" s="3">
        <f>POWER(Pillar2_quarterly14[[#This Row],[Rice self-sufficiency rate]]*Pillar2_quarterly14[[#This Row],[Meat self-sufficiency rate]]*Pillar2_quarterly14[[#This Row],[Fish self-sufficiency rate]], 1/3)</f>
        <v>1.9140661000932992</v>
      </c>
      <c r="F35" s="3">
        <f>Pillar2_quarterly14[[#This Row],[% of expenditure on non-staple food groups.]]</f>
        <v>1.5468361492718234</v>
      </c>
      <c r="G35" s="3">
        <f>POWER(Pillar2_quarterly14[[#This Row],[Total markets/supermarkets]]*Pillar2_quarterly14[[#This Row],[PCI]], 1/2)</f>
        <v>1.215490333469095</v>
      </c>
      <c r="H35" s="3">
        <f>POWER(Pillar2_quarterly1419[[#This Row],[C1.Import dependency ratio ]]*Pillar2_quarterly1419[[#This Row],[C2.Supplier concentration level]], 1/2)</f>
        <v>1.5668683248375954</v>
      </c>
      <c r="I35" s="3">
        <f>POWER(Pillar2_quarterly14[[#This Row],[Rice import rate]]+Pillar2_quarterly14[[#This Row],[Meat import rate]]+Pillar2_quarterly14[[#This Row],[Fish import rate]],1/3)</f>
        <v>1.6561619426294336</v>
      </c>
      <c r="J35" s="3">
        <f>POWER(Pillar2_quarterly14[[#This Row],[Rice HHI for import partners]]*Pillar2_quarterly14[[#This Row],[Meat HHI for import partners]]*Pillar2_quarterly14[[#This Row],[Fish HHI for import partners]], 1/3)</f>
        <v>1.4823890612300441</v>
      </c>
    </row>
    <row r="36" spans="1:14" x14ac:dyDescent="0.2">
      <c r="A36">
        <v>2016</v>
      </c>
      <c r="B36">
        <v>2</v>
      </c>
      <c r="C36">
        <f>POWER(Pillar2_quarterly1419[[#This Row],[A1. Local production output]]*Pillar2_quarterly1419[[#This Row],[A2. Food self-sufficiency rate ]]*Pillar2_quarterly1419[[#This Row],[A3. Dietary diversity score]], 1/3)</f>
        <v>1.5956509765936415</v>
      </c>
      <c r="D36" s="3">
        <f>POWER(Pillar2_quarterly14[[#This Row],[Rice production (tons)]]*Pillar2_quarterly14[[#This Row],[Fishery production (tons)]]*Pillar2_quarterly14[[#This Row],[Meat production]], 1/3)</f>
        <v>1.3721843524836761</v>
      </c>
      <c r="E36" s="3">
        <f>POWER(Pillar2_quarterly14[[#This Row],[Rice self-sufficiency rate]]*Pillar2_quarterly14[[#This Row],[Meat self-sufficiency rate]]*Pillar2_quarterly14[[#This Row],[Fish self-sufficiency rate]], 1/3)</f>
        <v>1.9140661000932992</v>
      </c>
      <c r="F36" s="3">
        <f>Pillar2_quarterly14[[#This Row],[% of expenditure on non-staple food groups.]]</f>
        <v>1.5468361492718234</v>
      </c>
      <c r="G36" s="3">
        <f>POWER(Pillar2_quarterly14[[#This Row],[Total markets/supermarkets]]*Pillar2_quarterly14[[#This Row],[PCI]], 1/2)</f>
        <v>1.215490333469095</v>
      </c>
      <c r="H36" s="3">
        <f>POWER(Pillar2_quarterly1419[[#This Row],[C1.Import dependency ratio ]]*Pillar2_quarterly1419[[#This Row],[C2.Supplier concentration level]], 1/2)</f>
        <v>1.5668683248375954</v>
      </c>
      <c r="I36" s="3">
        <f>POWER(Pillar2_quarterly14[[#This Row],[Rice import rate]]+Pillar2_quarterly14[[#This Row],[Meat import rate]]+Pillar2_quarterly14[[#This Row],[Fish import rate]],1/3)</f>
        <v>1.6561619426294336</v>
      </c>
      <c r="J36" s="3">
        <f>POWER(Pillar2_quarterly14[[#This Row],[Rice HHI for import partners]]*Pillar2_quarterly14[[#This Row],[Meat HHI for import partners]]*Pillar2_quarterly14[[#This Row],[Fish HHI for import partners]], 1/3)</f>
        <v>1.4823890612300441</v>
      </c>
      <c r="K36" t="s">
        <v>38</v>
      </c>
      <c r="L36">
        <v>2</v>
      </c>
    </row>
    <row r="37" spans="1:14" x14ac:dyDescent="0.2">
      <c r="A37">
        <v>2016</v>
      </c>
      <c r="B37">
        <v>1</v>
      </c>
      <c r="C37">
        <f>POWER(Pillar2_quarterly1419[[#This Row],[A1. Local production output]]*Pillar2_quarterly1419[[#This Row],[A2. Food self-sufficiency rate ]]*Pillar2_quarterly1419[[#This Row],[A3. Dietary diversity score]], 1/3)</f>
        <v>1.5956509765936415</v>
      </c>
      <c r="D37" s="3">
        <f>POWER(Pillar2_quarterly14[[#This Row],[Rice production (tons)]]*Pillar2_quarterly14[[#This Row],[Fishery production (tons)]]*Pillar2_quarterly14[[#This Row],[Meat production]], 1/3)</f>
        <v>1.3721843524836761</v>
      </c>
      <c r="E37" s="3">
        <f>POWER(Pillar2_quarterly14[[#This Row],[Rice self-sufficiency rate]]*Pillar2_quarterly14[[#This Row],[Meat self-sufficiency rate]]*Pillar2_quarterly14[[#This Row],[Fish self-sufficiency rate]], 1/3)</f>
        <v>1.9140661000932992</v>
      </c>
      <c r="F37" s="3">
        <f>Pillar2_quarterly14[[#This Row],[% of expenditure on non-staple food groups.]]</f>
        <v>1.5468361492718234</v>
      </c>
      <c r="G37" s="3">
        <f>POWER(Pillar2_quarterly14[[#This Row],[Total markets/supermarkets]]*Pillar2_quarterly14[[#This Row],[PCI]], 1/2)</f>
        <v>1.215490333469095</v>
      </c>
      <c r="H37" s="3">
        <f>POWER(Pillar2_quarterly1419[[#This Row],[C1.Import dependency ratio ]]*Pillar2_quarterly1419[[#This Row],[C2.Supplier concentration level]], 1/2)</f>
        <v>1.5668683248375954</v>
      </c>
      <c r="I37" s="3">
        <f>POWER(Pillar2_quarterly14[[#This Row],[Rice import rate]]+Pillar2_quarterly14[[#This Row],[Meat import rate]]+Pillar2_quarterly14[[#This Row],[Fish import rate]],1/3)</f>
        <v>1.6561619426294336</v>
      </c>
      <c r="J37" s="3">
        <f>POWER(Pillar2_quarterly14[[#This Row],[Rice HHI for import partners]]*Pillar2_quarterly14[[#This Row],[Meat HHI for import partners]]*Pillar2_quarterly14[[#This Row],[Fish HHI for import partners]], 1/3)</f>
        <v>1.4823890612300441</v>
      </c>
      <c r="K37" t="s">
        <v>38</v>
      </c>
      <c r="L37">
        <v>2</v>
      </c>
    </row>
    <row r="38" spans="1:14" x14ac:dyDescent="0.2">
      <c r="A38">
        <v>2015</v>
      </c>
      <c r="B38">
        <v>4</v>
      </c>
      <c r="C38">
        <f>POWER(Pillar2_quarterly1419[[#This Row],[A1. Local production output]]*Pillar2_quarterly1419[[#This Row],[A2. Food self-sufficiency rate ]]*Pillar2_quarterly1419[[#This Row],[A3. Dietary diversity score]], 1/3)</f>
        <v>1.4445256379567768</v>
      </c>
      <c r="D38" s="3">
        <f>POWER(Pillar2_quarterly14[[#This Row],[Rice production (tons)]]*Pillar2_quarterly14[[#This Row],[Fishery production (tons)]]*Pillar2_quarterly14[[#This Row],[Meat production]], 1/3)</f>
        <v>1.545798755943719</v>
      </c>
      <c r="E38" s="3">
        <f>POWER(Pillar2_quarterly14[[#This Row],[Rice self-sufficiency rate]]*Pillar2_quarterly14[[#This Row],[Meat self-sufficiency rate]]*Pillar2_quarterly14[[#This Row],[Fish self-sufficiency rate]], 1/3)</f>
        <v>1.5254532239576859</v>
      </c>
      <c r="F38" s="3">
        <f>Pillar2_quarterly14[[#This Row],[% of expenditure on non-staple food groups.]]</f>
        <v>1.2782738785750984</v>
      </c>
      <c r="G38" s="3">
        <f>POWER(Pillar2_quarterly14[[#This Row],[Total markets/supermarkets]]*Pillar2_quarterly14[[#This Row],[PCI]], 1/2)</f>
        <v>1.0853254730457484</v>
      </c>
      <c r="H38" s="3">
        <f>POWER(Pillar2_quarterly1419[[#This Row],[C1.Import dependency ratio ]]*Pillar2_quarterly1419[[#This Row],[C2.Supplier concentration level]], 1/2)</f>
        <v>1.5086690958226252</v>
      </c>
      <c r="I38" s="3">
        <f>POWER(Pillar2_quarterly14[[#This Row],[Rice import rate]]+Pillar2_quarterly14[[#This Row],[Meat import rate]]+Pillar2_quarterly14[[#This Row],[Fish import rate]],1/3)</f>
        <v>1.7574296483277616</v>
      </c>
      <c r="J38" s="3">
        <f>POWER(Pillar2_quarterly14[[#This Row],[Rice HHI for import partners]]*Pillar2_quarterly14[[#This Row],[Meat HHI for import partners]]*Pillar2_quarterly14[[#This Row],[Fish HHI for import partners]], 1/3)</f>
        <v>1.2951200879397975</v>
      </c>
      <c r="K38" t="s">
        <v>38</v>
      </c>
      <c r="L38">
        <v>2</v>
      </c>
    </row>
    <row r="39" spans="1:14" x14ac:dyDescent="0.2">
      <c r="A39">
        <v>2015</v>
      </c>
      <c r="B39">
        <v>3</v>
      </c>
      <c r="C39">
        <f>POWER(Pillar2_quarterly1419[[#This Row],[A1. Local production output]]*Pillar2_quarterly1419[[#This Row],[A2. Food self-sufficiency rate ]]*Pillar2_quarterly1419[[#This Row],[A3. Dietary diversity score]], 1/3)</f>
        <v>1.4445256379567768</v>
      </c>
      <c r="D39" s="3">
        <f>POWER(Pillar2_quarterly14[[#This Row],[Rice production (tons)]]*Pillar2_quarterly14[[#This Row],[Fishery production (tons)]]*Pillar2_quarterly14[[#This Row],[Meat production]], 1/3)</f>
        <v>1.545798755943719</v>
      </c>
      <c r="E39" s="3">
        <f>POWER(Pillar2_quarterly14[[#This Row],[Rice self-sufficiency rate]]*Pillar2_quarterly14[[#This Row],[Meat self-sufficiency rate]]*Pillar2_quarterly14[[#This Row],[Fish self-sufficiency rate]], 1/3)</f>
        <v>1.5254532239576859</v>
      </c>
      <c r="F39" s="3">
        <f>Pillar2_quarterly14[[#This Row],[% of expenditure on non-staple food groups.]]</f>
        <v>1.2782738785750984</v>
      </c>
      <c r="G39" s="3">
        <f>POWER(Pillar2_quarterly14[[#This Row],[Total markets/supermarkets]]*Pillar2_quarterly14[[#This Row],[PCI]], 1/2)</f>
        <v>1.0853254730457484</v>
      </c>
      <c r="H39" s="3">
        <f>POWER(Pillar2_quarterly1419[[#This Row],[C1.Import dependency ratio ]]*Pillar2_quarterly1419[[#This Row],[C2.Supplier concentration level]], 1/2)</f>
        <v>1.5086690958226252</v>
      </c>
      <c r="I39" s="3">
        <f>POWER(Pillar2_quarterly14[[#This Row],[Rice import rate]]+Pillar2_quarterly14[[#This Row],[Meat import rate]]+Pillar2_quarterly14[[#This Row],[Fish import rate]],1/3)</f>
        <v>1.7574296483277616</v>
      </c>
      <c r="J39" s="3">
        <f>POWER(Pillar2_quarterly14[[#This Row],[Rice HHI for import partners]]*Pillar2_quarterly14[[#This Row],[Meat HHI for import partners]]*Pillar2_quarterly14[[#This Row],[Fish HHI for import partners]], 1/3)</f>
        <v>1.2951200879397975</v>
      </c>
    </row>
    <row r="40" spans="1:14" x14ac:dyDescent="0.2">
      <c r="A40">
        <v>2015</v>
      </c>
      <c r="B40">
        <v>2</v>
      </c>
      <c r="C40">
        <f>POWER(Pillar2_quarterly1419[[#This Row],[A1. Local production output]]*Pillar2_quarterly1419[[#This Row],[A2. Food self-sufficiency rate ]]*Pillar2_quarterly1419[[#This Row],[A3. Dietary diversity score]], 1/3)</f>
        <v>1.4445256379567768</v>
      </c>
      <c r="D40" s="3">
        <f>POWER(Pillar2_quarterly14[[#This Row],[Rice production (tons)]]*Pillar2_quarterly14[[#This Row],[Fishery production (tons)]]*Pillar2_quarterly14[[#This Row],[Meat production]], 1/3)</f>
        <v>1.545798755943719</v>
      </c>
      <c r="E40" s="3">
        <f>POWER(Pillar2_quarterly14[[#This Row],[Rice self-sufficiency rate]]*Pillar2_quarterly14[[#This Row],[Meat self-sufficiency rate]]*Pillar2_quarterly14[[#This Row],[Fish self-sufficiency rate]], 1/3)</f>
        <v>1.5254532239576859</v>
      </c>
      <c r="F40" s="3">
        <f>Pillar2_quarterly14[[#This Row],[% of expenditure on non-staple food groups.]]</f>
        <v>1.2782738785750984</v>
      </c>
      <c r="G40" s="3">
        <f>POWER(Pillar2_quarterly14[[#This Row],[Total markets/supermarkets]]*Pillar2_quarterly14[[#This Row],[PCI]], 1/2)</f>
        <v>1.0853254730457484</v>
      </c>
      <c r="H40" s="3">
        <f>POWER(Pillar2_quarterly1419[[#This Row],[C1.Import dependency ratio ]]*Pillar2_quarterly1419[[#This Row],[C2.Supplier concentration level]], 1/2)</f>
        <v>1.5086690958226252</v>
      </c>
      <c r="I40" s="3">
        <f>POWER(Pillar2_quarterly14[[#This Row],[Rice import rate]]+Pillar2_quarterly14[[#This Row],[Meat import rate]]+Pillar2_quarterly14[[#This Row],[Fish import rate]],1/3)</f>
        <v>1.7574296483277616</v>
      </c>
      <c r="J40" s="3">
        <f>POWER(Pillar2_quarterly14[[#This Row],[Rice HHI for import partners]]*Pillar2_quarterly14[[#This Row],[Meat HHI for import partners]]*Pillar2_quarterly14[[#This Row],[Fish HHI for import partners]], 1/3)</f>
        <v>1.2951200879397975</v>
      </c>
      <c r="K40" t="s">
        <v>35</v>
      </c>
      <c r="L40">
        <v>2</v>
      </c>
    </row>
    <row r="41" spans="1:14" x14ac:dyDescent="0.2">
      <c r="A41">
        <v>2015</v>
      </c>
      <c r="B41">
        <v>1</v>
      </c>
      <c r="C41">
        <f>POWER(Pillar2_quarterly1419[[#This Row],[A1. Local production output]]*Pillar2_quarterly1419[[#This Row],[A2. Food self-sufficiency rate ]]*Pillar2_quarterly1419[[#This Row],[A3. Dietary diversity score]], 1/3)</f>
        <v>1.4445256379567768</v>
      </c>
      <c r="D41" s="3">
        <f>POWER(Pillar2_quarterly14[[#This Row],[Rice production (tons)]]*Pillar2_quarterly14[[#This Row],[Fishery production (tons)]]*Pillar2_quarterly14[[#This Row],[Meat production]], 1/3)</f>
        <v>1.545798755943719</v>
      </c>
      <c r="E41" s="3">
        <f>POWER(Pillar2_quarterly14[[#This Row],[Rice self-sufficiency rate]]*Pillar2_quarterly14[[#This Row],[Meat self-sufficiency rate]]*Pillar2_quarterly14[[#This Row],[Fish self-sufficiency rate]], 1/3)</f>
        <v>1.5254532239576859</v>
      </c>
      <c r="F41" s="3">
        <f>Pillar2_quarterly14[[#This Row],[% of expenditure on non-staple food groups.]]</f>
        <v>1.2782738785750984</v>
      </c>
      <c r="G41" s="3">
        <f>POWER(Pillar2_quarterly14[[#This Row],[Total markets/supermarkets]]*Pillar2_quarterly14[[#This Row],[PCI]], 1/2)</f>
        <v>1.0853254730457484</v>
      </c>
      <c r="H41" s="3">
        <f>POWER(Pillar2_quarterly1419[[#This Row],[C1.Import dependency ratio ]]*Pillar2_quarterly1419[[#This Row],[C2.Supplier concentration level]], 1/2)</f>
        <v>1.5086690958226252</v>
      </c>
      <c r="I41" s="3">
        <f>POWER(Pillar2_quarterly14[[#This Row],[Rice import rate]]+Pillar2_quarterly14[[#This Row],[Meat import rate]]+Pillar2_quarterly14[[#This Row],[Fish import rate]],1/3)</f>
        <v>1.7574296483277616</v>
      </c>
      <c r="J41" s="3">
        <f>POWER(Pillar2_quarterly14[[#This Row],[Rice HHI for import partners]]*Pillar2_quarterly14[[#This Row],[Meat HHI for import partners]]*Pillar2_quarterly14[[#This Row],[Fish HHI for import partners]], 1/3)</f>
        <v>1.2951200879397975</v>
      </c>
    </row>
    <row r="42" spans="1:14" x14ac:dyDescent="0.2">
      <c r="A42">
        <v>2014</v>
      </c>
      <c r="B42">
        <v>4</v>
      </c>
      <c r="C42">
        <f>POWER(Pillar2_quarterly1419[[#This Row],[A1. Local production output]]*Pillar2_quarterly1419[[#This Row],[A2. Food self-sufficiency rate ]]*Pillar2_quarterly1419[[#This Row],[A3. Dietary diversity score]], 1/3)</f>
        <v>1.1665290395761165</v>
      </c>
      <c r="D42" s="3">
        <f>POWER(Pillar2_quarterly14[[#This Row],[Rice production (tons)]]*Pillar2_quarterly14[[#This Row],[Fishery production (tons)]]*Pillar2_quarterly14[[#This Row],[Meat production]], 1/3)</f>
        <v>1.2599210498948732</v>
      </c>
      <c r="E42" s="3">
        <f>POWER(Pillar2_quarterly14[[#This Row],[Rice self-sufficiency rate]]*Pillar2_quarterly14[[#This Row],[Meat self-sufficiency rate]]*Pillar2_quarterly14[[#This Row],[Fish self-sufficiency rate]], 1/3)</f>
        <v>1.2599210498948732</v>
      </c>
      <c r="F42" s="3">
        <f>Pillar2_quarterly14[[#This Row],[% of expenditure on non-staple food groups.]]</f>
        <v>1</v>
      </c>
      <c r="G42" s="3">
        <f>POWER(Pillar2_quarterly14[[#This Row],[Total markets/supermarkets]]*Pillar2_quarterly14[[#This Row],[PCI]], 1/2)</f>
        <v>1</v>
      </c>
      <c r="H42" s="3">
        <f>POWER(Pillar2_quarterly1419[[#This Row],[C1.Import dependency ratio ]]*Pillar2_quarterly1419[[#This Row],[C2.Supplier concentration level]], 1/2)</f>
        <v>1.4590755625441612</v>
      </c>
      <c r="I42" s="3">
        <f>POWER(Pillar2_quarterly14[[#This Row],[Rice import rate]]+Pillar2_quarterly14[[#This Row],[Meat import rate]]+Pillar2_quarterly14[[#This Row],[Fish import rate]],1/3)</f>
        <v>1.8077232090901301</v>
      </c>
      <c r="J42" s="3">
        <f>POWER(Pillar2_quarterly14[[#This Row],[Rice HHI for import partners]]*Pillar2_quarterly14[[#This Row],[Meat HHI for import partners]]*Pillar2_quarterly14[[#This Row],[Fish HHI for import partners]], 1/3)</f>
        <v>1.1776700583963222</v>
      </c>
      <c r="K42" t="s">
        <v>35</v>
      </c>
      <c r="L42">
        <v>2</v>
      </c>
      <c r="M42" t="s">
        <v>38</v>
      </c>
      <c r="N42">
        <v>1</v>
      </c>
    </row>
    <row r="43" spans="1:14" x14ac:dyDescent="0.2">
      <c r="A43">
        <v>2014</v>
      </c>
      <c r="B43">
        <v>3</v>
      </c>
      <c r="C43">
        <f>POWER(Pillar2_quarterly1419[[#This Row],[A1. Local production output]]*Pillar2_quarterly1419[[#This Row],[A2. Food self-sufficiency rate ]]*Pillar2_quarterly1419[[#This Row],[A3. Dietary diversity score]], 1/3)</f>
        <v>1.1665290395761165</v>
      </c>
      <c r="D43" s="3">
        <f>POWER(Pillar2_quarterly14[[#This Row],[Rice production (tons)]]*Pillar2_quarterly14[[#This Row],[Fishery production (tons)]]*Pillar2_quarterly14[[#This Row],[Meat production]], 1/3)</f>
        <v>1.2599210498948732</v>
      </c>
      <c r="E43" s="3">
        <f>POWER(Pillar2_quarterly14[[#This Row],[Rice self-sufficiency rate]]*Pillar2_quarterly14[[#This Row],[Meat self-sufficiency rate]]*Pillar2_quarterly14[[#This Row],[Fish self-sufficiency rate]], 1/3)</f>
        <v>1.2599210498948732</v>
      </c>
      <c r="F43" s="3">
        <f>Pillar2_quarterly14[[#This Row],[% of expenditure on non-staple food groups.]]</f>
        <v>1</v>
      </c>
      <c r="G43" s="3">
        <f>POWER(Pillar2_quarterly14[[#This Row],[Total markets/supermarkets]]*Pillar2_quarterly14[[#This Row],[PCI]], 1/2)</f>
        <v>1</v>
      </c>
      <c r="H43" s="3">
        <f>POWER(Pillar2_quarterly1419[[#This Row],[C1.Import dependency ratio ]]*Pillar2_quarterly1419[[#This Row],[C2.Supplier concentration level]], 1/2)</f>
        <v>1.4590755625441612</v>
      </c>
      <c r="I43" s="3">
        <f>POWER(Pillar2_quarterly14[[#This Row],[Rice import rate]]+Pillar2_quarterly14[[#This Row],[Meat import rate]]+Pillar2_quarterly14[[#This Row],[Fish import rate]],1/3)</f>
        <v>1.8077232090901301</v>
      </c>
      <c r="J43" s="3">
        <f>POWER(Pillar2_quarterly14[[#This Row],[Rice HHI for import partners]]*Pillar2_quarterly14[[#This Row],[Meat HHI for import partners]]*Pillar2_quarterly14[[#This Row],[Fish HHI for import partners]], 1/3)</f>
        <v>1.1776700583963222</v>
      </c>
    </row>
    <row r="44" spans="1:14" x14ac:dyDescent="0.2">
      <c r="A44">
        <v>2014</v>
      </c>
      <c r="B44">
        <v>2</v>
      </c>
      <c r="C44">
        <f>POWER(Pillar2_quarterly1419[[#This Row],[A1. Local production output]]*Pillar2_quarterly1419[[#This Row],[A2. Food self-sufficiency rate ]]*Pillar2_quarterly1419[[#This Row],[A3. Dietary diversity score]], 1/3)</f>
        <v>1.1665290395761165</v>
      </c>
      <c r="D44" s="3">
        <f>POWER(Pillar2_quarterly14[[#This Row],[Rice production (tons)]]*Pillar2_quarterly14[[#This Row],[Fishery production (tons)]]*Pillar2_quarterly14[[#This Row],[Meat production]], 1/3)</f>
        <v>1.2599210498948732</v>
      </c>
      <c r="E44" s="3">
        <f>POWER(Pillar2_quarterly14[[#This Row],[Rice self-sufficiency rate]]*Pillar2_quarterly14[[#This Row],[Meat self-sufficiency rate]]*Pillar2_quarterly14[[#This Row],[Fish self-sufficiency rate]], 1/3)</f>
        <v>1.2599210498948732</v>
      </c>
      <c r="F44" s="3">
        <f>Pillar2_quarterly14[[#This Row],[% of expenditure on non-staple food groups.]]</f>
        <v>1</v>
      </c>
      <c r="G44" s="3">
        <f>POWER(Pillar2_quarterly14[[#This Row],[Total markets/supermarkets]]*Pillar2_quarterly14[[#This Row],[PCI]], 1/2)</f>
        <v>1</v>
      </c>
      <c r="H44" s="3">
        <f>POWER(Pillar2_quarterly1419[[#This Row],[C1.Import dependency ratio ]]*Pillar2_quarterly1419[[#This Row],[C2.Supplier concentration level]], 1/2)</f>
        <v>1.4590755625441612</v>
      </c>
      <c r="I44" s="3">
        <f>POWER(Pillar2_quarterly14[[#This Row],[Rice import rate]]+Pillar2_quarterly14[[#This Row],[Meat import rate]]+Pillar2_quarterly14[[#This Row],[Fish import rate]],1/3)</f>
        <v>1.8077232090901301</v>
      </c>
      <c r="J44" s="3">
        <f>POWER(Pillar2_quarterly14[[#This Row],[Rice HHI for import partners]]*Pillar2_quarterly14[[#This Row],[Meat HHI for import partners]]*Pillar2_quarterly14[[#This Row],[Fish HHI for import partners]], 1/3)</f>
        <v>1.1776700583963222</v>
      </c>
    </row>
    <row r="45" spans="1:14" x14ac:dyDescent="0.2">
      <c r="A45">
        <v>2014</v>
      </c>
      <c r="B45">
        <v>1</v>
      </c>
      <c r="C45">
        <f>POWER(Pillar2_quarterly1419[[#This Row],[A1. Local production output]]*Pillar2_quarterly1419[[#This Row],[A2. Food self-sufficiency rate ]]*Pillar2_quarterly1419[[#This Row],[A3. Dietary diversity score]], 1/3)</f>
        <v>1.1665290395761165</v>
      </c>
      <c r="D45" s="3">
        <f>POWER(Pillar2_quarterly14[[#This Row],[Rice production (tons)]]*Pillar2_quarterly14[[#This Row],[Fishery production (tons)]]*Pillar2_quarterly14[[#This Row],[Meat production]], 1/3)</f>
        <v>1.2599210498948732</v>
      </c>
      <c r="E45" s="3">
        <f>POWER(Pillar2_quarterly14[[#This Row],[Rice self-sufficiency rate]]*Pillar2_quarterly14[[#This Row],[Meat self-sufficiency rate]]*Pillar2_quarterly14[[#This Row],[Fish self-sufficiency rate]], 1/3)</f>
        <v>1.2599210498948732</v>
      </c>
      <c r="F45" s="3">
        <f>Pillar2_quarterly14[[#This Row],[% of expenditure on non-staple food groups.]]</f>
        <v>1</v>
      </c>
      <c r="G45" s="3">
        <f>POWER(Pillar2_quarterly14[[#This Row],[Total markets/supermarkets]]*Pillar2_quarterly14[[#This Row],[PCI]], 1/2)</f>
        <v>1</v>
      </c>
      <c r="H45" s="3">
        <f>POWER(Pillar2_quarterly1419[[#This Row],[C1.Import dependency ratio ]]*Pillar2_quarterly1419[[#This Row],[C2.Supplier concentration level]], 1/2)</f>
        <v>1.4590755625441612</v>
      </c>
      <c r="I45" s="3">
        <f>POWER(Pillar2_quarterly14[[#This Row],[Rice import rate]]+Pillar2_quarterly14[[#This Row],[Meat import rate]]+Pillar2_quarterly14[[#This Row],[Fish import rate]],1/3)</f>
        <v>1.8077232090901301</v>
      </c>
      <c r="J45" s="3">
        <f>POWER(Pillar2_quarterly14[[#This Row],[Rice HHI for import partners]]*Pillar2_quarterly14[[#This Row],[Meat HHI for import partners]]*Pillar2_quarterly14[[#This Row],[Fish HHI for import partners]], 1/3)</f>
        <v>1.1776700583963222</v>
      </c>
    </row>
    <row r="54" spans="10:10" x14ac:dyDescent="0.2">
      <c r="J54">
        <f>(1*1)^1/2</f>
        <v>0.5</v>
      </c>
    </row>
    <row r="55" spans="10:10" x14ac:dyDescent="0.2">
      <c r="J55">
        <f>SQRT(1*1)</f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7023-DDAC-EB4C-BE70-C8481FD830FB}">
  <dimension ref="A1:H50"/>
  <sheetViews>
    <sheetView workbookViewId="0">
      <selection activeCell="C3" sqref="C3"/>
    </sheetView>
  </sheetViews>
  <sheetFormatPr baseColWidth="10" defaultRowHeight="16" x14ac:dyDescent="0.2"/>
  <cols>
    <col min="3" max="3" width="13" customWidth="1"/>
    <col min="4" max="4" width="12.6640625" bestFit="1" customWidth="1"/>
  </cols>
  <sheetData>
    <row r="1" spans="1:8" x14ac:dyDescent="0.2">
      <c r="A1" t="s">
        <v>0</v>
      </c>
      <c r="B1" t="s">
        <v>1</v>
      </c>
      <c r="C1" t="s">
        <v>112</v>
      </c>
      <c r="D1" t="s">
        <v>111</v>
      </c>
      <c r="E1" t="s">
        <v>31</v>
      </c>
      <c r="F1" t="s">
        <v>33</v>
      </c>
      <c r="G1" t="s">
        <v>95</v>
      </c>
      <c r="H1" t="s">
        <v>96</v>
      </c>
    </row>
    <row r="2" spans="1:8" x14ac:dyDescent="0.2">
      <c r="A2">
        <v>2024</v>
      </c>
      <c r="B2">
        <v>4</v>
      </c>
      <c r="C2" s="3">
        <f>POWER(Pillar3_quarterly15[[#This Row],[Food CPI Quarter YoY]]*Pillar3_quarterly15[[#This Row],[Diesel price Quarter YoY]]*Pillar3_quarterly15[[#This Row],[GRDP growth Quarter YoY]], 1/3)</f>
        <v>1.7789276179903137</v>
      </c>
      <c r="D2" s="3">
        <f>POWER((Pillar3_quarterly15[[#This Row],[number_of_extreme_hot_days]]*Pillar3_quarterly15[[#This Row],[total_abnormal_rainfall_events]]*Pillar3_quarterly15[[#This Row],[total_storm_events]]), 1/3)</f>
        <v>1.7471609294725976</v>
      </c>
    </row>
    <row r="3" spans="1:8" x14ac:dyDescent="0.2">
      <c r="A3">
        <v>2024</v>
      </c>
      <c r="B3">
        <v>3</v>
      </c>
      <c r="C3" s="3">
        <f>POWER(Pillar3_quarterly15[[#This Row],[Food CPI Quarter YoY]]*Pillar3_quarterly15[[#This Row],[Diesel price Quarter YoY]]*Pillar3_quarterly15[[#This Row],[GRDP growth Quarter YoY]], 1/3)</f>
        <v>1.7642697352501566</v>
      </c>
      <c r="D3" s="3">
        <f>POWER((Pillar3_quarterly15[[#This Row],[number_of_extreme_hot_days]]*Pillar3_quarterly15[[#This Row],[total_abnormal_rainfall_events]]*Pillar3_quarterly15[[#This Row],[total_storm_events]]), 1/3)</f>
        <v>1.2599210498948732</v>
      </c>
      <c r="E3" t="s">
        <v>38</v>
      </c>
      <c r="F3">
        <v>2</v>
      </c>
    </row>
    <row r="4" spans="1:8" x14ac:dyDescent="0.2">
      <c r="A4">
        <v>2024</v>
      </c>
      <c r="B4">
        <v>2</v>
      </c>
      <c r="C4" s="3">
        <f>POWER(Pillar3_quarterly15[[#This Row],[Food CPI Quarter YoY]]*Pillar3_quarterly15[[#This Row],[Diesel price Quarter YoY]]*Pillar3_quarterly15[[#This Row],[GRDP growth Quarter YoY]], 1/3)</f>
        <v>1.7214688011685386</v>
      </c>
      <c r="D4" s="3">
        <f>POWER((Pillar3_quarterly15[[#This Row],[number_of_extreme_hot_days]]*Pillar3_quarterly15[[#This Row],[total_abnormal_rainfall_events]]*Pillar3_quarterly15[[#This Row],[total_storm_events]]), 1/3)</f>
        <v>1.5874010519681994</v>
      </c>
      <c r="E4" t="s">
        <v>38</v>
      </c>
      <c r="F4">
        <v>2</v>
      </c>
    </row>
    <row r="5" spans="1:8" x14ac:dyDescent="0.2">
      <c r="A5">
        <v>2024</v>
      </c>
      <c r="B5">
        <v>1</v>
      </c>
      <c r="C5" s="3">
        <f>POWER(Pillar3_quarterly15[[#This Row],[Food CPI Quarter YoY]]*Pillar3_quarterly15[[#This Row],[Diesel price Quarter YoY]]*Pillar3_quarterly15[[#This Row],[GRDP growth Quarter YoY]], 1/3)</f>
        <v>1.7380723119674855</v>
      </c>
      <c r="D5" s="3">
        <f>POWER((Pillar3_quarterly15[[#This Row],[number_of_extreme_hot_days]]*Pillar3_quarterly15[[#This Row],[total_abnormal_rainfall_events]]*Pillar3_quarterly15[[#This Row],[total_storm_events]]), 1/3)</f>
        <v>1.6956057215070832</v>
      </c>
    </row>
    <row r="6" spans="1:8" x14ac:dyDescent="0.2">
      <c r="A6">
        <v>2023</v>
      </c>
      <c r="B6">
        <v>4</v>
      </c>
      <c r="C6" s="3">
        <f>POWER(Pillar3_quarterly15[[#This Row],[Food CPI Quarter YoY]]*Pillar3_quarterly15[[#This Row],[Diesel price Quarter YoY]]*Pillar3_quarterly15[[#This Row],[GRDP growth Quarter YoY]], 1/3)</f>
        <v>1.7707615458714543</v>
      </c>
      <c r="D6" s="3">
        <f>POWER((Pillar3_quarterly15[[#This Row],[number_of_extreme_hot_days]]*Pillar3_quarterly15[[#This Row],[total_abnormal_rainfall_events]]*Pillar3_quarterly15[[#This Row],[total_storm_events]]), 1/3)</f>
        <v>1.8582457992422499</v>
      </c>
    </row>
    <row r="7" spans="1:8" x14ac:dyDescent="0.2">
      <c r="A7">
        <v>2023</v>
      </c>
      <c r="B7">
        <v>3</v>
      </c>
      <c r="C7" s="3">
        <f>POWER(Pillar3_quarterly15[[#This Row],[Food CPI Quarter YoY]]*Pillar3_quarterly15[[#This Row],[Diesel price Quarter YoY]]*Pillar3_quarterly15[[#This Row],[GRDP growth Quarter YoY]], 1/3)</f>
        <v>1.754542158883446</v>
      </c>
      <c r="D7" s="3">
        <f>POWER((Pillar3_quarterly15[[#This Row],[number_of_extreme_hot_days]]*Pillar3_quarterly15[[#This Row],[total_abnormal_rainfall_events]]*Pillar3_quarterly15[[#This Row],[total_storm_events]]), 1/3)</f>
        <v>1.8820720577620569</v>
      </c>
    </row>
    <row r="8" spans="1:8" x14ac:dyDescent="0.2">
      <c r="A8">
        <v>2023</v>
      </c>
      <c r="B8">
        <v>2</v>
      </c>
      <c r="C8" s="3">
        <f>POWER(Pillar3_quarterly15[[#This Row],[Food CPI Quarter YoY]]*Pillar3_quarterly15[[#This Row],[Diesel price Quarter YoY]]*Pillar3_quarterly15[[#This Row],[GRDP growth Quarter YoY]], 1/3)</f>
        <v>1.7934681627991942</v>
      </c>
      <c r="D8" s="3">
        <f>POWER((Pillar3_quarterly15[[#This Row],[number_of_extreme_hot_days]]*Pillar3_quarterly15[[#This Row],[total_abnormal_rainfall_events]]*Pillar3_quarterly15[[#This Row],[total_storm_events]]), 1/3)</f>
        <v>1.7471609294725976</v>
      </c>
      <c r="E8" t="s">
        <v>35</v>
      </c>
      <c r="F8">
        <v>2</v>
      </c>
    </row>
    <row r="9" spans="1:8" x14ac:dyDescent="0.2">
      <c r="A9">
        <v>2023</v>
      </c>
      <c r="B9">
        <v>1</v>
      </c>
      <c r="C9" s="3">
        <f>POWER(Pillar3_quarterly15[[#This Row],[Food CPI Quarter YoY]]*Pillar3_quarterly15[[#This Row],[Diesel price Quarter YoY]]*Pillar3_quarterly15[[#This Row],[GRDP growth Quarter YoY]], 1/3)</f>
        <v>1.6889567123454989</v>
      </c>
      <c r="D9" s="3">
        <f>POWER((Pillar3_quarterly15[[#This Row],[number_of_extreme_hot_days]]*Pillar3_quarterly15[[#This Row],[total_abnormal_rainfall_events]]*Pillar3_quarterly15[[#This Row],[total_storm_events]]), 1/3)</f>
        <v>1.8582457992422499</v>
      </c>
    </row>
    <row r="10" spans="1:8" x14ac:dyDescent="0.2">
      <c r="A10">
        <v>2022</v>
      </c>
      <c r="B10">
        <v>4</v>
      </c>
      <c r="C10" s="3">
        <f>POWER(Pillar3_quarterly15[[#This Row],[Food CPI Quarter YoY]]*Pillar3_quarterly15[[#This Row],[Diesel price Quarter YoY]]*Pillar3_quarterly15[[#This Row],[GRDP growth Quarter YoY]], 1/3)</f>
        <v>1.5398935141917631</v>
      </c>
      <c r="D10" s="3">
        <f>POWER((Pillar3_quarterly15[[#This Row],[number_of_extreme_hot_days]]*Pillar3_quarterly15[[#This Row],[total_abnormal_rainfall_events]]*Pillar3_quarterly15[[#This Row],[total_storm_events]]), 1/3)</f>
        <v>1.7380133224432248</v>
      </c>
    </row>
    <row r="11" spans="1:8" x14ac:dyDescent="0.2">
      <c r="A11">
        <v>2022</v>
      </c>
      <c r="B11">
        <v>3</v>
      </c>
      <c r="C11" s="3">
        <f>POWER(Pillar3_quarterly15[[#This Row],[Food CPI Quarter YoY]]*Pillar3_quarterly15[[#This Row],[Diesel price Quarter YoY]]*Pillar3_quarterly15[[#This Row],[GRDP growth Quarter YoY]], 1/3)</f>
        <v>1.6224901704890438</v>
      </c>
      <c r="D11" s="3">
        <f>POWER((Pillar3_quarterly15[[#This Row],[number_of_extreme_hot_days]]*Pillar3_quarterly15[[#This Row],[total_abnormal_rainfall_events]]*Pillar3_quarterly15[[#This Row],[total_storm_events]]), 1/3)</f>
        <v>1.7471609294725976</v>
      </c>
      <c r="E11" t="s">
        <v>53</v>
      </c>
      <c r="F11">
        <v>2</v>
      </c>
    </row>
    <row r="12" spans="1:8" x14ac:dyDescent="0.2">
      <c r="A12">
        <v>2022</v>
      </c>
      <c r="B12">
        <v>2</v>
      </c>
      <c r="C12" s="3">
        <f>POWER(Pillar3_quarterly15[[#This Row],[Food CPI Quarter YoY]]*Pillar3_quarterly15[[#This Row],[Diesel price Quarter YoY]]*Pillar3_quarterly15[[#This Row],[GRDP growth Quarter YoY]], 1/3)</f>
        <v>1.4911243935809366</v>
      </c>
      <c r="D12" s="3">
        <f>POWER((Pillar3_quarterly15[[#This Row],[number_of_extreme_hot_days]]*Pillar3_quarterly15[[#This Row],[total_abnormal_rainfall_events]]*Pillar3_quarterly15[[#This Row],[total_storm_events]]), 1/3)</f>
        <v>1.5874010519681994</v>
      </c>
      <c r="E12" t="s">
        <v>53</v>
      </c>
      <c r="F12">
        <v>2</v>
      </c>
    </row>
    <row r="13" spans="1:8" x14ac:dyDescent="0.2">
      <c r="A13">
        <v>2022</v>
      </c>
      <c r="B13">
        <v>1</v>
      </c>
      <c r="C13" s="3">
        <f>POWER(Pillar3_quarterly15[[#This Row],[Food CPI Quarter YoY]]*Pillar3_quarterly15[[#This Row],[Diesel price Quarter YoY]]*Pillar3_quarterly15[[#This Row],[GRDP growth Quarter YoY]], 1/3)</f>
        <v>1.496809144797788</v>
      </c>
      <c r="D13" s="3">
        <f>POWER((Pillar3_quarterly15[[#This Row],[number_of_extreme_hot_days]]*Pillar3_quarterly15[[#This Row],[total_abnormal_rainfall_events]]*Pillar3_quarterly15[[#This Row],[total_storm_events]]), 1/3)</f>
        <v>1.6710993116548616</v>
      </c>
    </row>
    <row r="14" spans="1:8" x14ac:dyDescent="0.2">
      <c r="A14">
        <v>2021</v>
      </c>
      <c r="B14">
        <v>4</v>
      </c>
      <c r="C14" s="3">
        <f>POWER(Pillar3_quarterly15[[#This Row],[Food CPI Quarter YoY]]*Pillar3_quarterly15[[#This Row],[Diesel price Quarter YoY]]*Pillar3_quarterly15[[#This Row],[GRDP growth Quarter YoY]], 1/3)</f>
        <v>1.5419402236535813</v>
      </c>
      <c r="D14" s="3">
        <f>POWER((Pillar3_quarterly15[[#This Row],[number_of_extreme_hot_days]]*Pillar3_quarterly15[[#This Row],[total_abnormal_rainfall_events]]*Pillar3_quarterly15[[#This Row],[total_storm_events]]), 1/3)</f>
        <v>1.8171205928321397</v>
      </c>
    </row>
    <row r="15" spans="1:8" x14ac:dyDescent="0.2">
      <c r="A15">
        <v>2021</v>
      </c>
      <c r="B15">
        <v>3</v>
      </c>
      <c r="C15" s="3">
        <f>POWER(Pillar3_quarterly15[[#This Row],[Food CPI Quarter YoY]]*Pillar3_quarterly15[[#This Row],[Diesel price Quarter YoY]]*Pillar3_quarterly15[[#This Row],[GRDP growth Quarter YoY]], 1/3)</f>
        <v>1.3340114231966727</v>
      </c>
      <c r="D15" s="3">
        <f>POWER((Pillar3_quarterly15[[#This Row],[number_of_extreme_hot_days]]*Pillar3_quarterly15[[#This Row],[total_abnormal_rainfall_events]]*Pillar3_quarterly15[[#This Row],[total_storm_events]]), 1/3)</f>
        <v>1.5536162529769293</v>
      </c>
      <c r="E15" t="s">
        <v>53</v>
      </c>
      <c r="F15">
        <v>3</v>
      </c>
    </row>
    <row r="16" spans="1:8" x14ac:dyDescent="0.2">
      <c r="A16">
        <v>2021</v>
      </c>
      <c r="B16">
        <v>2</v>
      </c>
      <c r="C16" s="3">
        <f>POWER(Pillar3_quarterly15[[#This Row],[Food CPI Quarter YoY]]*Pillar3_quarterly15[[#This Row],[Diesel price Quarter YoY]]*Pillar3_quarterly15[[#This Row],[GRDP growth Quarter YoY]], 1/3)</f>
        <v>1.4841188146610758</v>
      </c>
      <c r="D16" s="3">
        <f>POWER((Pillar3_quarterly15[[#This Row],[number_of_extreme_hot_days]]*Pillar3_quarterly15[[#This Row],[total_abnormal_rainfall_events]]*Pillar3_quarterly15[[#This Row],[total_storm_events]]), 1/3)</f>
        <v>1.8171205928321397</v>
      </c>
      <c r="E16" t="s">
        <v>53</v>
      </c>
      <c r="F16">
        <v>2</v>
      </c>
    </row>
    <row r="17" spans="1:8" x14ac:dyDescent="0.2">
      <c r="A17">
        <v>2021</v>
      </c>
      <c r="B17">
        <v>1</v>
      </c>
      <c r="C17" s="3">
        <f>POWER(Pillar3_quarterly15[[#This Row],[Food CPI Quarter YoY]]*Pillar3_quarterly15[[#This Row],[Diesel price Quarter YoY]]*Pillar3_quarterly15[[#This Row],[GRDP growth Quarter YoY]], 1/3)</f>
        <v>1.7047600597239034</v>
      </c>
      <c r="D17" s="3">
        <f>POWER((Pillar3_quarterly15[[#This Row],[number_of_extreme_hot_days]]*Pillar3_quarterly15[[#This Row],[total_abnormal_rainfall_events]]*Pillar3_quarterly15[[#This Row],[total_storm_events]]), 1/3)</f>
        <v>1.7099759466766968</v>
      </c>
      <c r="E17" t="s">
        <v>53</v>
      </c>
      <c r="F17">
        <v>2</v>
      </c>
    </row>
    <row r="18" spans="1:8" x14ac:dyDescent="0.2">
      <c r="A18">
        <v>2020</v>
      </c>
      <c r="B18">
        <v>4</v>
      </c>
      <c r="C18" s="3">
        <f>POWER(Pillar3_quarterly15[[#This Row],[Food CPI Quarter YoY]]*Pillar3_quarterly15[[#This Row],[Diesel price Quarter YoY]]*Pillar3_quarterly15[[#This Row],[GRDP growth Quarter YoY]], 1/3)</f>
        <v>1.7533286821978005</v>
      </c>
      <c r="D18" s="3">
        <f>POWER((Pillar3_quarterly15[[#This Row],[number_of_extreme_hot_days]]*Pillar3_quarterly15[[#This Row],[total_abnormal_rainfall_events]]*Pillar3_quarterly15[[#This Row],[total_storm_events]]), 1/3)</f>
        <v>1.8171205928321397</v>
      </c>
      <c r="E18" t="s">
        <v>38</v>
      </c>
      <c r="F18">
        <v>1</v>
      </c>
    </row>
    <row r="19" spans="1:8" x14ac:dyDescent="0.2">
      <c r="A19">
        <v>2020</v>
      </c>
      <c r="B19">
        <v>3</v>
      </c>
      <c r="C19" s="3">
        <f>POWER(Pillar3_quarterly15[[#This Row],[Food CPI Quarter YoY]]*Pillar3_quarterly15[[#This Row],[Diesel price Quarter YoY]]*Pillar3_quarterly15[[#This Row],[GRDP growth Quarter YoY]], 1/3)</f>
        <v>1.4869915532893883</v>
      </c>
      <c r="D19" s="3">
        <f>POWER((Pillar3_quarterly15[[#This Row],[number_of_extreme_hot_days]]*Pillar3_quarterly15[[#This Row],[total_abnormal_rainfall_events]]*Pillar3_quarterly15[[#This Row],[total_storm_events]]), 1/3)</f>
        <v>1.8820720577620569</v>
      </c>
      <c r="E19" t="s">
        <v>35</v>
      </c>
      <c r="F19">
        <v>1</v>
      </c>
    </row>
    <row r="20" spans="1:8" x14ac:dyDescent="0.2">
      <c r="A20">
        <v>2020</v>
      </c>
      <c r="B20">
        <v>2</v>
      </c>
      <c r="C20" s="3">
        <f>POWER(Pillar3_quarterly15[[#This Row],[Food CPI Quarter YoY]]*Pillar3_quarterly15[[#This Row],[Diesel price Quarter YoY]]*Pillar3_quarterly15[[#This Row],[GRDP growth Quarter YoY]], 1/3)</f>
        <v>1.4060335626259417</v>
      </c>
      <c r="D20" s="3">
        <f>POWER((Pillar3_quarterly15[[#This Row],[number_of_extreme_hot_days]]*Pillar3_quarterly15[[#This Row],[total_abnormal_rainfall_events]]*Pillar3_quarterly15[[#This Row],[total_storm_events]]), 1/3)</f>
        <v>1.7784466522450315</v>
      </c>
      <c r="E20" t="s">
        <v>35</v>
      </c>
      <c r="F20">
        <v>2</v>
      </c>
    </row>
    <row r="21" spans="1:8" x14ac:dyDescent="0.2">
      <c r="A21">
        <v>2020</v>
      </c>
      <c r="B21">
        <v>1</v>
      </c>
      <c r="C21" s="3">
        <f>POWER(Pillar3_quarterly15[[#This Row],[Food CPI Quarter YoY]]*Pillar3_quarterly15[[#This Row],[Diesel price Quarter YoY]]*Pillar3_quarterly15[[#This Row],[GRDP growth Quarter YoY]], 1/3)</f>
        <v>1.4398485115877027</v>
      </c>
      <c r="D21" s="3">
        <f>POWER((Pillar3_quarterly15[[#This Row],[number_of_extreme_hot_days]]*Pillar3_quarterly15[[#This Row],[total_abnormal_rainfall_events]]*Pillar3_quarterly15[[#This Row],[total_storm_events]]), 1/3)</f>
        <v>1.6710993116548616</v>
      </c>
    </row>
    <row r="22" spans="1:8" x14ac:dyDescent="0.2">
      <c r="A22">
        <v>2019</v>
      </c>
      <c r="B22">
        <v>4</v>
      </c>
      <c r="C22" s="3">
        <f>POWER(Pillar3_quarterly15[[#This Row],[Food CPI Quarter YoY]]*Pillar3_quarterly15[[#This Row],[Diesel price Quarter YoY]]*Pillar3_quarterly15[[#This Row],[GRDP growth Quarter YoY]], 1/3)</f>
        <v>1.6827112564033244</v>
      </c>
      <c r="D22" s="3">
        <f>POWER((Pillar3_quarterly15[[#This Row],[number_of_extreme_hot_days]]*Pillar3_quarterly15[[#This Row],[total_abnormal_rainfall_events]]*Pillar3_quarterly15[[#This Row],[total_storm_events]]), 1/3)</f>
        <v>1.8820720577620569</v>
      </c>
    </row>
    <row r="23" spans="1:8" x14ac:dyDescent="0.2">
      <c r="A23">
        <v>2019</v>
      </c>
      <c r="B23">
        <v>3</v>
      </c>
      <c r="C23" s="3">
        <f>POWER(Pillar3_quarterly15[[#This Row],[Food CPI Quarter YoY]]*Pillar3_quarterly15[[#This Row],[Diesel price Quarter YoY]]*Pillar3_quarterly15[[#This Row],[GRDP growth Quarter YoY]], 1/3)</f>
        <v>1.7795034014216091</v>
      </c>
      <c r="D23" s="3">
        <f>POWER((Pillar3_quarterly15[[#This Row],[number_of_extreme_hot_days]]*Pillar3_quarterly15[[#This Row],[total_abnormal_rainfall_events]]*Pillar3_quarterly15[[#This Row],[total_storm_events]]), 1/3)</f>
        <v>1.7471609294725976</v>
      </c>
      <c r="E23" t="s">
        <v>38</v>
      </c>
      <c r="F23">
        <v>1</v>
      </c>
      <c r="G23" t="s">
        <v>38</v>
      </c>
      <c r="H23">
        <v>1</v>
      </c>
    </row>
    <row r="24" spans="1:8" x14ac:dyDescent="0.2">
      <c r="A24">
        <v>2019</v>
      </c>
      <c r="B24">
        <v>2</v>
      </c>
      <c r="C24" s="3">
        <f>POWER(Pillar3_quarterly15[[#This Row],[Food CPI Quarter YoY]]*Pillar3_quarterly15[[#This Row],[Diesel price Quarter YoY]]*Pillar3_quarterly15[[#This Row],[GRDP growth Quarter YoY]], 1/3)</f>
        <v>1.7108383991646037</v>
      </c>
      <c r="D24" s="3">
        <f>POWER((Pillar3_quarterly15[[#This Row],[number_of_extreme_hot_days]]*Pillar3_quarterly15[[#This Row],[total_abnormal_rainfall_events]]*Pillar3_quarterly15[[#This Row],[total_storm_events]]), 1/3)</f>
        <v>1.7471609294725976</v>
      </c>
      <c r="E24" t="s">
        <v>38</v>
      </c>
      <c r="F24">
        <v>2</v>
      </c>
    </row>
    <row r="25" spans="1:8" x14ac:dyDescent="0.2">
      <c r="A25">
        <v>2019</v>
      </c>
      <c r="B25">
        <v>1</v>
      </c>
      <c r="C25" s="3">
        <f>POWER(Pillar3_quarterly15[[#This Row],[Food CPI Quarter YoY]]*Pillar3_quarterly15[[#This Row],[Diesel price Quarter YoY]]*Pillar3_quarterly15[[#This Row],[GRDP growth Quarter YoY]], 1/3)</f>
        <v>1.6528287802271984</v>
      </c>
      <c r="D25" s="3">
        <f>POWER((Pillar3_quarterly15[[#This Row],[number_of_extreme_hot_days]]*Pillar3_quarterly15[[#This Row],[total_abnormal_rainfall_events]]*Pillar3_quarterly15[[#This Row],[total_storm_events]]), 1/3)</f>
        <v>1.5182944859378313</v>
      </c>
    </row>
    <row r="26" spans="1:8" x14ac:dyDescent="0.2">
      <c r="A26">
        <v>2018</v>
      </c>
      <c r="B26">
        <v>4</v>
      </c>
      <c r="C26" s="3">
        <f>POWER(Pillar3_quarterly15[[#This Row],[Food CPI Quarter YoY]]*Pillar3_quarterly15[[#This Row],[Diesel price Quarter YoY]]*Pillar3_quarterly15[[#This Row],[GRDP growth Quarter YoY]], 1/3)</f>
        <v>1.6029210953186406</v>
      </c>
      <c r="D26" s="3">
        <f>POWER((Pillar3_quarterly15[[#This Row],[number_of_extreme_hot_days]]*Pillar3_quarterly15[[#This Row],[total_abnormal_rainfall_events]]*Pillar3_quarterly15[[#This Row],[total_storm_events]]), 1/3)</f>
        <v>1.5182944859378313</v>
      </c>
    </row>
    <row r="27" spans="1:8" x14ac:dyDescent="0.2">
      <c r="A27">
        <v>2018</v>
      </c>
      <c r="B27">
        <v>3</v>
      </c>
      <c r="C27" s="3">
        <f>POWER(Pillar3_quarterly15[[#This Row],[Food CPI Quarter YoY]]*Pillar3_quarterly15[[#This Row],[Diesel price Quarter YoY]]*Pillar3_quarterly15[[#This Row],[GRDP growth Quarter YoY]], 1/3)</f>
        <v>1.568604315934484</v>
      </c>
      <c r="D27" s="3">
        <f>POWER((Pillar3_quarterly15[[#This Row],[number_of_extreme_hot_days]]*Pillar3_quarterly15[[#This Row],[total_abnormal_rainfall_events]]*Pillar3_quarterly15[[#This Row],[total_storm_events]]), 1/3)</f>
        <v>1.5536162529769293</v>
      </c>
      <c r="E27" t="s">
        <v>53</v>
      </c>
      <c r="F27">
        <v>2</v>
      </c>
    </row>
    <row r="28" spans="1:8" x14ac:dyDescent="0.2">
      <c r="A28">
        <v>2018</v>
      </c>
      <c r="B28">
        <v>2</v>
      </c>
      <c r="C28" s="3">
        <f>POWER(Pillar3_quarterly15[[#This Row],[Food CPI Quarter YoY]]*Pillar3_quarterly15[[#This Row],[Diesel price Quarter YoY]]*Pillar3_quarterly15[[#This Row],[GRDP growth Quarter YoY]], 1/3)</f>
        <v>1.6788877733004455</v>
      </c>
      <c r="D28" s="3">
        <f>POWER((Pillar3_quarterly15[[#This Row],[number_of_extreme_hot_days]]*Pillar3_quarterly15[[#This Row],[total_abnormal_rainfall_events]]*Pillar3_quarterly15[[#This Row],[total_storm_events]]), 1/3)</f>
        <v>1.8171205928321397</v>
      </c>
    </row>
    <row r="29" spans="1:8" x14ac:dyDescent="0.2">
      <c r="A29">
        <v>2018</v>
      </c>
      <c r="B29">
        <v>1</v>
      </c>
      <c r="C29" s="3">
        <f>POWER(Pillar3_quarterly15[[#This Row],[Food CPI Quarter YoY]]*Pillar3_quarterly15[[#This Row],[Diesel price Quarter YoY]]*Pillar3_quarterly15[[#This Row],[GRDP growth Quarter YoY]], 1/3)</f>
        <v>1.6527791528055809</v>
      </c>
      <c r="D29" s="3">
        <f>POWER((Pillar3_quarterly15[[#This Row],[number_of_extreme_hot_days]]*Pillar3_quarterly15[[#This Row],[total_abnormal_rainfall_events]]*Pillar3_quarterly15[[#This Row],[total_storm_events]]), 1/3)</f>
        <v>1.6710993116548616</v>
      </c>
      <c r="E29" t="s">
        <v>35</v>
      </c>
      <c r="F29">
        <v>2</v>
      </c>
    </row>
    <row r="30" spans="1:8" x14ac:dyDescent="0.2">
      <c r="A30">
        <v>2017</v>
      </c>
      <c r="B30">
        <v>4</v>
      </c>
      <c r="C30" s="3">
        <f>POWER(Pillar3_quarterly15[[#This Row],[Food CPI Quarter YoY]]*Pillar3_quarterly15[[#This Row],[Diesel price Quarter YoY]]*Pillar3_quarterly15[[#This Row],[GRDP growth Quarter YoY]], 1/3)</f>
        <v>1.528533762193643</v>
      </c>
      <c r="D30" s="3">
        <f>POWER((Pillar3_quarterly15[[#This Row],[number_of_extreme_hot_days]]*Pillar3_quarterly15[[#This Row],[total_abnormal_rainfall_events]]*Pillar3_quarterly15[[#This Row],[total_storm_events]]), 1/3)</f>
        <v>1.6355331550942949</v>
      </c>
    </row>
    <row r="31" spans="1:8" x14ac:dyDescent="0.2">
      <c r="A31">
        <v>2017</v>
      </c>
      <c r="B31">
        <v>3</v>
      </c>
      <c r="C31" s="3">
        <f>POWER(Pillar3_quarterly15[[#This Row],[Food CPI Quarter YoY]]*Pillar3_quarterly15[[#This Row],[Diesel price Quarter YoY]]*Pillar3_quarterly15[[#This Row],[GRDP growth Quarter YoY]], 1/3)</f>
        <v>1.6251771943475</v>
      </c>
      <c r="D31" s="3">
        <f>POWER((Pillar3_quarterly15[[#This Row],[number_of_extreme_hot_days]]*Pillar3_quarterly15[[#This Row],[total_abnormal_rainfall_events]]*Pillar3_quarterly15[[#This Row],[total_storm_events]]), 1/3)</f>
        <v>1.5874010519681994</v>
      </c>
    </row>
    <row r="32" spans="1:8" x14ac:dyDescent="0.2">
      <c r="A32">
        <v>2017</v>
      </c>
      <c r="B32">
        <v>2</v>
      </c>
      <c r="C32" s="3">
        <f>POWER(Pillar3_quarterly15[[#This Row],[Food CPI Quarter YoY]]*Pillar3_quarterly15[[#This Row],[Diesel price Quarter YoY]]*Pillar3_quarterly15[[#This Row],[GRDP growth Quarter YoY]], 1/3)</f>
        <v>1.5360086333572376</v>
      </c>
      <c r="D32" s="3">
        <f>POWER((Pillar3_quarterly15[[#This Row],[number_of_extreme_hot_days]]*Pillar3_quarterly15[[#This Row],[total_abnormal_rainfall_events]]*Pillar3_quarterly15[[#This Row],[total_storm_events]]), 1/3)</f>
        <v>1.7099759466766968</v>
      </c>
    </row>
    <row r="33" spans="1:8" x14ac:dyDescent="0.2">
      <c r="A33">
        <v>2017</v>
      </c>
      <c r="B33">
        <v>1</v>
      </c>
      <c r="C33" s="3">
        <f>POWER(Pillar3_quarterly15[[#This Row],[Food CPI Quarter YoY]]*Pillar3_quarterly15[[#This Row],[Diesel price Quarter YoY]]*Pillar3_quarterly15[[#This Row],[GRDP growth Quarter YoY]], 1/3)</f>
        <v>1.5795753174063591</v>
      </c>
      <c r="D33" s="3">
        <f>POWER((Pillar3_quarterly15[[#This Row],[number_of_extreme_hot_days]]*Pillar3_quarterly15[[#This Row],[total_abnormal_rainfall_events]]*Pillar3_quarterly15[[#This Row],[total_storm_events]]), 1/3)</f>
        <v>1.7380133224432248</v>
      </c>
    </row>
    <row r="34" spans="1:8" x14ac:dyDescent="0.2">
      <c r="A34">
        <v>2016</v>
      </c>
      <c r="B34">
        <v>4</v>
      </c>
      <c r="C34" s="3">
        <f>POWER(Pillar3_quarterly15[[#This Row],[Food CPI Quarter YoY]]*Pillar3_quarterly15[[#This Row],[Diesel price Quarter YoY]]*Pillar3_quarterly15[[#This Row],[GRDP growth Quarter YoY]], 1/3)</f>
        <v>1.8130645447018592</v>
      </c>
      <c r="D34" s="3">
        <f>POWER((Pillar3_quarterly15[[#This Row],[number_of_extreme_hot_days]]*Pillar3_quarterly15[[#This Row],[total_abnormal_rainfall_events]]*Pillar3_quarterly15[[#This Row],[total_storm_events]]), 1/3)</f>
        <v>1.9999999999999998</v>
      </c>
      <c r="E34" t="s">
        <v>38</v>
      </c>
      <c r="F34">
        <v>1</v>
      </c>
    </row>
    <row r="35" spans="1:8" x14ac:dyDescent="0.2">
      <c r="A35">
        <v>2016</v>
      </c>
      <c r="B35">
        <v>3</v>
      </c>
      <c r="C35" s="3">
        <f>POWER(Pillar3_quarterly15[[#This Row],[Food CPI Quarter YoY]]*Pillar3_quarterly15[[#This Row],[Diesel price Quarter YoY]]*Pillar3_quarterly15[[#This Row],[GRDP growth Quarter YoY]], 1/3)</f>
        <v>1.8275353165596877</v>
      </c>
      <c r="D35" s="3">
        <f>POWER((Pillar3_quarterly15[[#This Row],[number_of_extreme_hot_days]]*Pillar3_quarterly15[[#This Row],[total_abnormal_rainfall_events]]*Pillar3_quarterly15[[#This Row],[total_storm_events]]), 1/3)</f>
        <v>1.2939893461093845</v>
      </c>
    </row>
    <row r="36" spans="1:8" x14ac:dyDescent="0.2">
      <c r="A36">
        <v>2016</v>
      </c>
      <c r="B36">
        <v>2</v>
      </c>
      <c r="C36" s="3">
        <f>POWER(Pillar3_quarterly15[[#This Row],[Food CPI Quarter YoY]]*Pillar3_quarterly15[[#This Row],[Diesel price Quarter YoY]]*Pillar3_quarterly15[[#This Row],[GRDP growth Quarter YoY]], 1/3)</f>
        <v>1.8402829890457957</v>
      </c>
      <c r="D36" s="3">
        <f>POWER((Pillar3_quarterly15[[#This Row],[number_of_extreme_hot_days]]*Pillar3_quarterly15[[#This Row],[total_abnormal_rainfall_events]]*Pillar3_quarterly15[[#This Row],[total_storm_events]]), 1/3)</f>
        <v>1.9428255610838185</v>
      </c>
      <c r="E36" t="s">
        <v>38</v>
      </c>
      <c r="F36">
        <v>2</v>
      </c>
    </row>
    <row r="37" spans="1:8" x14ac:dyDescent="0.2">
      <c r="A37">
        <v>2016</v>
      </c>
      <c r="B37">
        <v>1</v>
      </c>
      <c r="C37" s="3">
        <f>POWER(Pillar3_quarterly15[[#This Row],[Food CPI Quarter YoY]]*Pillar3_quarterly15[[#This Row],[Diesel price Quarter YoY]]*Pillar3_quarterly15[[#This Row],[GRDP growth Quarter YoY]], 1/3)</f>
        <v>1.8045502331415171</v>
      </c>
      <c r="D37" s="3">
        <f>POWER((Pillar3_quarterly15[[#This Row],[number_of_extreme_hot_days]]*Pillar3_quarterly15[[#This Row],[total_abnormal_rainfall_events]]*Pillar3_quarterly15[[#This Row],[total_storm_events]]), 1/3)</f>
        <v>1.7651741676630315</v>
      </c>
      <c r="E37" t="s">
        <v>38</v>
      </c>
      <c r="F37">
        <v>2</v>
      </c>
    </row>
    <row r="38" spans="1:8" x14ac:dyDescent="0.2">
      <c r="A38">
        <v>2015</v>
      </c>
      <c r="B38">
        <v>4</v>
      </c>
      <c r="C38" s="3">
        <f>POWER(Pillar3_quarterly15[[#This Row],[Food CPI Quarter YoY]]*Pillar3_quarterly15[[#This Row],[Diesel price Quarter YoY]]*Pillar3_quarterly15[[#This Row],[GRDP growth Quarter YoY]], 1/3)</f>
        <v>1.8621738875077027</v>
      </c>
      <c r="D38" s="3">
        <f>POWER((Pillar3_quarterly15[[#This Row],[number_of_extreme_hot_days]]*Pillar3_quarterly15[[#This Row],[total_abnormal_rainfall_events]]*Pillar3_quarterly15[[#This Row],[total_storm_events]]), 1/3)</f>
        <v>1.9999999999999998</v>
      </c>
      <c r="E38" t="s">
        <v>38</v>
      </c>
      <c r="F38">
        <v>2</v>
      </c>
    </row>
    <row r="39" spans="1:8" x14ac:dyDescent="0.2">
      <c r="A39">
        <v>2015</v>
      </c>
      <c r="B39">
        <v>3</v>
      </c>
      <c r="C39" s="3">
        <f>POWER(Pillar3_quarterly15[[#This Row],[Food CPI Quarter YoY]]*Pillar3_quarterly15[[#This Row],[Diesel price Quarter YoY]]*Pillar3_quarterly15[[#This Row],[GRDP growth Quarter YoY]], 1/3)</f>
        <v>1.8197243392266</v>
      </c>
      <c r="D39" s="3">
        <f>POWER((Pillar3_quarterly15[[#This Row],[number_of_extreme_hot_days]]*Pillar3_quarterly15[[#This Row],[total_abnormal_rainfall_events]]*Pillar3_quarterly15[[#This Row],[total_storm_events]]), 1/3)</f>
        <v>1.9999999999999998</v>
      </c>
    </row>
    <row r="40" spans="1:8" x14ac:dyDescent="0.2">
      <c r="A40">
        <v>2015</v>
      </c>
      <c r="B40">
        <v>2</v>
      </c>
      <c r="C40" s="3">
        <f>POWER(Pillar3_quarterly15[[#This Row],[Food CPI Quarter YoY]]*Pillar3_quarterly15[[#This Row],[Diesel price Quarter YoY]]*Pillar3_quarterly15[[#This Row],[GRDP growth Quarter YoY]], 1/3)</f>
        <v>1.7934699129111848</v>
      </c>
      <c r="D40" s="3">
        <f>POWER((Pillar3_quarterly15[[#This Row],[number_of_extreme_hot_days]]*Pillar3_quarterly15[[#This Row],[total_abnormal_rainfall_events]]*Pillar3_quarterly15[[#This Row],[total_storm_events]]), 1/3)</f>
        <v>1.8820720577620569</v>
      </c>
      <c r="E40" t="s">
        <v>35</v>
      </c>
      <c r="F40">
        <v>2</v>
      </c>
    </row>
    <row r="41" spans="1:8" x14ac:dyDescent="0.2">
      <c r="A41">
        <v>2015</v>
      </c>
      <c r="B41">
        <v>1</v>
      </c>
      <c r="C41" s="3">
        <f>POWER(Pillar3_quarterly15[[#This Row],[Food CPI Quarter YoY]]*Pillar3_quarterly15[[#This Row],[Diesel price Quarter YoY]]*Pillar3_quarterly15[[#This Row],[GRDP growth Quarter YoY]], 1/3)</f>
        <v>1.8091570494904459</v>
      </c>
      <c r="D41" s="3">
        <f>POWER((Pillar3_quarterly15[[#This Row],[number_of_extreme_hot_days]]*Pillar3_quarterly15[[#This Row],[total_abnormal_rainfall_events]]*Pillar3_quarterly15[[#This Row],[total_storm_events]]), 1/3)</f>
        <v>1.9014762303806958</v>
      </c>
    </row>
    <row r="42" spans="1:8" x14ac:dyDescent="0.2">
      <c r="A42">
        <v>2014</v>
      </c>
      <c r="B42">
        <v>4</v>
      </c>
      <c r="C42" s="3">
        <f>POWER(Pillar3_quarterly15[[#This Row],[Food CPI Quarter YoY]]*Pillar3_quarterly15[[#This Row],[Diesel price Quarter YoY]]*Pillar3_quarterly15[[#This Row],[GRDP growth Quarter YoY]], 1/3)</f>
        <v>1.818723617772023</v>
      </c>
      <c r="D42" s="3">
        <f>POWER((Pillar3_quarterly15[[#This Row],[number_of_extreme_hot_days]]*Pillar3_quarterly15[[#This Row],[total_abnormal_rainfall_events]]*Pillar3_quarterly15[[#This Row],[total_storm_events]]), 1/3)</f>
        <v>1.8662555784086241</v>
      </c>
      <c r="E42" t="s">
        <v>35</v>
      </c>
      <c r="F42">
        <v>2</v>
      </c>
      <c r="G42" t="s">
        <v>38</v>
      </c>
      <c r="H42">
        <v>1</v>
      </c>
    </row>
    <row r="43" spans="1:8" x14ac:dyDescent="0.2">
      <c r="A43">
        <v>2014</v>
      </c>
      <c r="B43">
        <v>3</v>
      </c>
      <c r="C43" s="3">
        <f>POWER(Pillar3_quarterly15[[#This Row],[Food CPI Quarter YoY]]*Pillar3_quarterly15[[#This Row],[Diesel price Quarter YoY]]*Pillar3_quarterly15[[#This Row],[GRDP growth Quarter YoY]], 1/3)</f>
        <v>1.7767930924833066</v>
      </c>
      <c r="D43" s="3">
        <f>POWER((Pillar3_quarterly15[[#This Row],[number_of_extreme_hot_days]]*Pillar3_quarterly15[[#This Row],[total_abnormal_rainfall_events]]*Pillar3_quarterly15[[#This Row],[total_storm_events]]), 1/3)</f>
        <v>1.9428255610838185</v>
      </c>
    </row>
    <row r="44" spans="1:8" x14ac:dyDescent="0.2">
      <c r="A44">
        <v>2014</v>
      </c>
      <c r="B44">
        <v>2</v>
      </c>
      <c r="C44" s="3">
        <f>POWER(Pillar3_quarterly15[[#This Row],[Food CPI Quarter YoY]]*Pillar3_quarterly15[[#This Row],[Diesel price Quarter YoY]]*Pillar3_quarterly15[[#This Row],[GRDP growth Quarter YoY]], 1/3)</f>
        <v>1.728473317307587</v>
      </c>
      <c r="D44" s="3">
        <f>POWER((Pillar3_quarterly15[[#This Row],[number_of_extreme_hot_days]]*Pillar3_quarterly15[[#This Row],[total_abnormal_rainfall_events]]*Pillar3_quarterly15[[#This Row],[total_storm_events]]), 1/3)</f>
        <v>1.9999999999999998</v>
      </c>
    </row>
    <row r="45" spans="1:8" x14ac:dyDescent="0.2">
      <c r="A45">
        <v>2014</v>
      </c>
      <c r="B45">
        <v>1</v>
      </c>
      <c r="C45" s="3">
        <f>POWER(Pillar3_quarterly15[[#This Row],[Food CPI Quarter YoY]]*Pillar3_quarterly15[[#This Row],[Diesel price Quarter YoY]]*Pillar3_quarterly15[[#This Row],[GRDP growth Quarter YoY]], 1/3)</f>
        <v>1.7154227102328599</v>
      </c>
      <c r="D45" s="3">
        <f>POWER((Pillar3_quarterly15[[#This Row],[number_of_extreme_hot_days]]*Pillar3_quarterly15[[#This Row],[total_abnormal_rainfall_events]]*Pillar3_quarterly15[[#This Row],[total_storm_events]]), 1/3)</f>
        <v>1.5874010519681994</v>
      </c>
    </row>
    <row r="47" spans="1:8" x14ac:dyDescent="0.2">
      <c r="A47" t="s">
        <v>118</v>
      </c>
      <c r="B47" t="s">
        <v>114</v>
      </c>
      <c r="C47">
        <f>(C30+D30)/2</f>
        <v>1.582033458643969</v>
      </c>
    </row>
    <row r="48" spans="1:8" x14ac:dyDescent="0.2">
      <c r="B48" t="s">
        <v>115</v>
      </c>
      <c r="C48">
        <f t="shared" ref="C48:C50" si="0">(C31+D31)/2</f>
        <v>1.6062891231578496</v>
      </c>
    </row>
    <row r="49" spans="2:3" x14ac:dyDescent="0.2">
      <c r="B49" t="s">
        <v>116</v>
      </c>
      <c r="C49">
        <f t="shared" si="0"/>
        <v>1.6229922900169673</v>
      </c>
    </row>
    <row r="50" spans="2:3" x14ac:dyDescent="0.2">
      <c r="B50" t="s">
        <v>113</v>
      </c>
      <c r="C50">
        <f t="shared" si="0"/>
        <v>1.6587943199247919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0A73-2F05-9448-94EC-70A13DFD499C}">
  <dimension ref="A1:R47"/>
  <sheetViews>
    <sheetView topLeftCell="D1" zoomScale="90" zoomScaleNormal="90" workbookViewId="0">
      <selection activeCell="T1" sqref="T1:U1048576"/>
    </sheetView>
  </sheetViews>
  <sheetFormatPr baseColWidth="10" defaultRowHeight="16" x14ac:dyDescent="0.2"/>
  <cols>
    <col min="3" max="6" width="11.83203125" bestFit="1" customWidth="1"/>
    <col min="7" max="7" width="13" bestFit="1" customWidth="1"/>
    <col min="8" max="11" width="11.83203125" bestFit="1" customWidth="1"/>
    <col min="12" max="12" width="11.83203125" customWidth="1"/>
    <col min="13" max="14" width="11.83203125" bestFit="1" customWidth="1"/>
    <col min="15" max="15" width="22.83203125" customWidth="1"/>
    <col min="16" max="16" width="13.5" customWidth="1"/>
  </cols>
  <sheetData>
    <row r="1" spans="1:18" ht="119" x14ac:dyDescent="0.2">
      <c r="A1" s="10" t="s">
        <v>0</v>
      </c>
      <c r="B1" s="10" t="s">
        <v>1</v>
      </c>
      <c r="C1" s="10" t="s">
        <v>88</v>
      </c>
      <c r="D1" s="10" t="s">
        <v>90</v>
      </c>
      <c r="E1" s="10" t="s">
        <v>89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124</v>
      </c>
      <c r="M1" s="10" t="s">
        <v>8</v>
      </c>
      <c r="N1" s="10" t="s">
        <v>9</v>
      </c>
      <c r="O1" s="10" t="s">
        <v>31</v>
      </c>
      <c r="P1" s="10" t="s">
        <v>33</v>
      </c>
      <c r="Q1" s="10" t="s">
        <v>95</v>
      </c>
      <c r="R1" s="10" t="s">
        <v>96</v>
      </c>
    </row>
    <row r="2" spans="1:18" x14ac:dyDescent="0.2">
      <c r="A2">
        <v>2024</v>
      </c>
      <c r="B2">
        <v>4</v>
      </c>
      <c r="C2" s="19">
        <v>1.2700440971759699</v>
      </c>
      <c r="D2" s="19">
        <v>1.665280107962857</v>
      </c>
      <c r="E2" s="14">
        <v>2</v>
      </c>
      <c r="F2" s="19">
        <v>1.8666666666666667</v>
      </c>
      <c r="G2" s="19">
        <v>1.4666666666666686</v>
      </c>
      <c r="H2" s="19">
        <v>2</v>
      </c>
      <c r="I2" s="19">
        <v>2</v>
      </c>
      <c r="J2" s="19">
        <v>2</v>
      </c>
      <c r="K2" s="19">
        <v>2</v>
      </c>
      <c r="L2" s="19">
        <v>2</v>
      </c>
      <c r="M2" s="19">
        <v>1</v>
      </c>
      <c r="N2" s="19">
        <v>1</v>
      </c>
    </row>
    <row r="3" spans="1:18" x14ac:dyDescent="0.2">
      <c r="A3">
        <v>2024</v>
      </c>
      <c r="B3">
        <v>3</v>
      </c>
      <c r="C3" s="19">
        <v>1.2700440971759699</v>
      </c>
      <c r="D3" s="19">
        <v>1.665280107962857</v>
      </c>
      <c r="E3" s="14">
        <v>2</v>
      </c>
      <c r="F3" s="19">
        <v>1.8666666666666667</v>
      </c>
      <c r="G3" s="19">
        <v>1.4666666666666686</v>
      </c>
      <c r="H3" s="19">
        <v>2</v>
      </c>
      <c r="I3" s="19">
        <v>2</v>
      </c>
      <c r="J3" s="19">
        <v>2</v>
      </c>
      <c r="K3" s="19">
        <v>2</v>
      </c>
      <c r="L3" s="19">
        <v>2</v>
      </c>
      <c r="M3" s="19">
        <v>1</v>
      </c>
      <c r="N3" s="19">
        <v>1</v>
      </c>
      <c r="O3" t="s">
        <v>38</v>
      </c>
      <c r="P3">
        <v>2</v>
      </c>
    </row>
    <row r="4" spans="1:18" x14ac:dyDescent="0.2">
      <c r="A4">
        <v>2024</v>
      </c>
      <c r="B4">
        <v>2</v>
      </c>
      <c r="C4" s="19">
        <v>1.2700440971759699</v>
      </c>
      <c r="D4" s="19">
        <v>1.665280107962857</v>
      </c>
      <c r="E4" s="14">
        <v>2</v>
      </c>
      <c r="F4" s="19">
        <v>1.8666666666666667</v>
      </c>
      <c r="G4" s="19">
        <v>1.4666666666666686</v>
      </c>
      <c r="H4" s="19">
        <v>2</v>
      </c>
      <c r="I4" s="19">
        <v>2</v>
      </c>
      <c r="J4" s="19">
        <v>2</v>
      </c>
      <c r="K4" s="19">
        <v>2</v>
      </c>
      <c r="L4" s="19">
        <v>2</v>
      </c>
      <c r="M4" s="19">
        <v>1</v>
      </c>
      <c r="N4" s="19">
        <v>1</v>
      </c>
      <c r="O4" t="s">
        <v>38</v>
      </c>
      <c r="P4">
        <v>2</v>
      </c>
    </row>
    <row r="5" spans="1:18" x14ac:dyDescent="0.2">
      <c r="A5">
        <v>2024</v>
      </c>
      <c r="B5">
        <v>1</v>
      </c>
      <c r="C5" s="19">
        <v>1.2700440971759699</v>
      </c>
      <c r="D5" s="19">
        <v>1.665280107962857</v>
      </c>
      <c r="E5" s="14">
        <v>2</v>
      </c>
      <c r="F5" s="19">
        <v>1.8666666666666667</v>
      </c>
      <c r="G5" s="19">
        <v>1.4666666666666686</v>
      </c>
      <c r="H5" s="19">
        <v>2</v>
      </c>
      <c r="I5" s="19">
        <v>2</v>
      </c>
      <c r="J5" s="19">
        <v>2</v>
      </c>
      <c r="K5" s="19">
        <v>2</v>
      </c>
      <c r="L5" s="19">
        <v>2</v>
      </c>
      <c r="M5" s="19">
        <v>1</v>
      </c>
      <c r="N5" s="19">
        <v>1</v>
      </c>
    </row>
    <row r="6" spans="1:18" x14ac:dyDescent="0.2">
      <c r="A6">
        <v>2023</v>
      </c>
      <c r="B6">
        <v>4</v>
      </c>
      <c r="C6" s="19">
        <v>1.1705754512007032</v>
      </c>
      <c r="D6" s="19">
        <v>1.515402235885579</v>
      </c>
      <c r="E6" s="14">
        <v>1.9993478861563967</v>
      </c>
      <c r="F6" s="19">
        <v>2</v>
      </c>
      <c r="G6" s="19">
        <v>1.4666666666666686</v>
      </c>
      <c r="H6" s="19">
        <v>2</v>
      </c>
      <c r="I6" s="19">
        <v>1.7891156462585034</v>
      </c>
      <c r="J6" s="19">
        <v>1.7146934905474327</v>
      </c>
      <c r="K6" s="19">
        <v>1.88339222614841</v>
      </c>
      <c r="L6" s="19">
        <v>1.7990428583479212</v>
      </c>
      <c r="M6" s="19">
        <v>1.1000000000000001</v>
      </c>
      <c r="N6" s="19">
        <v>1.0824449583544835</v>
      </c>
    </row>
    <row r="7" spans="1:18" x14ac:dyDescent="0.2">
      <c r="A7">
        <v>2023</v>
      </c>
      <c r="B7">
        <v>3</v>
      </c>
      <c r="C7" s="19">
        <v>1.1705754512007032</v>
      </c>
      <c r="D7" s="19">
        <v>1.515402235885579</v>
      </c>
      <c r="E7" s="14">
        <v>1.9993478861563967</v>
      </c>
      <c r="F7" s="19">
        <v>2</v>
      </c>
      <c r="G7" s="19">
        <v>1.4666666666666686</v>
      </c>
      <c r="H7" s="19">
        <v>2</v>
      </c>
      <c r="I7" s="19">
        <v>1.7891156462585034</v>
      </c>
      <c r="J7" s="19">
        <v>1.7146934905474327</v>
      </c>
      <c r="K7" s="19">
        <v>1.88339222614841</v>
      </c>
      <c r="L7" s="19">
        <v>1.7990428583479212</v>
      </c>
      <c r="M7" s="19">
        <v>1.1000000000000001</v>
      </c>
      <c r="N7" s="19">
        <v>1.0824449583544835</v>
      </c>
    </row>
    <row r="8" spans="1:18" x14ac:dyDescent="0.2">
      <c r="A8">
        <v>2023</v>
      </c>
      <c r="B8">
        <v>2</v>
      </c>
      <c r="C8" s="19">
        <v>1.1705754512007032</v>
      </c>
      <c r="D8" s="19">
        <v>1.515402235885579</v>
      </c>
      <c r="E8" s="14">
        <v>1.9993478861563967</v>
      </c>
      <c r="F8" s="19">
        <v>2</v>
      </c>
      <c r="G8" s="19">
        <v>1.4666666666666686</v>
      </c>
      <c r="H8" s="19">
        <v>2</v>
      </c>
      <c r="I8" s="19">
        <v>1.7891156462585034</v>
      </c>
      <c r="J8" s="19">
        <v>1.7146934905474327</v>
      </c>
      <c r="K8" s="19">
        <v>1.88339222614841</v>
      </c>
      <c r="L8" s="19">
        <v>1.7990428583479212</v>
      </c>
      <c r="M8" s="19">
        <v>1.1000000000000001</v>
      </c>
      <c r="N8" s="19">
        <v>1.0824449583544835</v>
      </c>
      <c r="O8" t="s">
        <v>35</v>
      </c>
      <c r="P8">
        <v>2</v>
      </c>
    </row>
    <row r="9" spans="1:18" x14ac:dyDescent="0.2">
      <c r="A9">
        <v>2023</v>
      </c>
      <c r="B9">
        <v>1</v>
      </c>
      <c r="C9" s="19">
        <v>1.1705754512007032</v>
      </c>
      <c r="D9" s="19">
        <v>1.515402235885579</v>
      </c>
      <c r="E9" s="14">
        <v>1.9993478861563967</v>
      </c>
      <c r="F9" s="19">
        <v>2</v>
      </c>
      <c r="G9" s="19">
        <v>1.4666666666666686</v>
      </c>
      <c r="H9" s="19">
        <v>2</v>
      </c>
      <c r="I9" s="19">
        <v>1.7891156462585034</v>
      </c>
      <c r="J9" s="19">
        <v>1.7146934905474327</v>
      </c>
      <c r="K9" s="19">
        <v>1.88339222614841</v>
      </c>
      <c r="L9" s="19">
        <v>1.7990428583479212</v>
      </c>
      <c r="M9" s="19">
        <v>1.1000000000000001</v>
      </c>
      <c r="N9" s="19">
        <v>1.0824449583544835</v>
      </c>
    </row>
    <row r="10" spans="1:18" x14ac:dyDescent="0.2">
      <c r="A10">
        <v>2022</v>
      </c>
      <c r="B10">
        <v>4</v>
      </c>
      <c r="C10" s="19">
        <v>1.3207204654171707</v>
      </c>
      <c r="D10" s="19">
        <v>1.5189608776743726</v>
      </c>
      <c r="E10" s="14">
        <v>1.9812377973134474</v>
      </c>
      <c r="F10" s="19">
        <v>2</v>
      </c>
      <c r="G10" s="19">
        <v>1.6666666666666665</v>
      </c>
      <c r="H10" s="19">
        <v>2</v>
      </c>
      <c r="I10" s="19">
        <v>1.7551020408163263</v>
      </c>
      <c r="J10" s="19">
        <v>1.642737093759649</v>
      </c>
      <c r="K10" s="19">
        <v>1.8374558303886928</v>
      </c>
      <c r="L10" s="19">
        <v>1.7400964620741708</v>
      </c>
      <c r="M10" s="19">
        <v>1</v>
      </c>
      <c r="N10" s="19">
        <v>1.2114551801505347</v>
      </c>
    </row>
    <row r="11" spans="1:18" x14ac:dyDescent="0.2">
      <c r="A11">
        <v>2022</v>
      </c>
      <c r="B11">
        <v>3</v>
      </c>
      <c r="C11" s="19">
        <v>1.3207204654171707</v>
      </c>
      <c r="D11" s="19">
        <v>1.5189608776743726</v>
      </c>
      <c r="E11" s="14">
        <v>1.9812377973134474</v>
      </c>
      <c r="F11" s="19">
        <v>2</v>
      </c>
      <c r="G11" s="19">
        <v>1.6666666666666665</v>
      </c>
      <c r="H11" s="19">
        <v>2</v>
      </c>
      <c r="I11" s="19">
        <v>1.7551020408163263</v>
      </c>
      <c r="J11" s="19">
        <v>1.642737093759649</v>
      </c>
      <c r="K11" s="19">
        <v>1.8374558303886928</v>
      </c>
      <c r="L11" s="19">
        <v>1.7400964620741708</v>
      </c>
      <c r="M11" s="19">
        <v>1</v>
      </c>
      <c r="N11" s="19">
        <v>1.2114551801505347</v>
      </c>
      <c r="O11" t="s">
        <v>53</v>
      </c>
      <c r="P11">
        <v>2</v>
      </c>
    </row>
    <row r="12" spans="1:18" x14ac:dyDescent="0.2">
      <c r="A12">
        <v>2022</v>
      </c>
      <c r="B12">
        <v>2</v>
      </c>
      <c r="C12" s="19">
        <v>1.3207204654171707</v>
      </c>
      <c r="D12" s="19">
        <v>1.5189608776743726</v>
      </c>
      <c r="E12" s="14">
        <v>1.9812377973134474</v>
      </c>
      <c r="F12" s="19">
        <v>2</v>
      </c>
      <c r="G12" s="19">
        <v>1.6666666666666665</v>
      </c>
      <c r="H12" s="19">
        <v>2</v>
      </c>
      <c r="I12" s="19">
        <v>1.7551020408163263</v>
      </c>
      <c r="J12" s="19">
        <v>1.642737093759649</v>
      </c>
      <c r="K12" s="19">
        <v>1.8374558303886928</v>
      </c>
      <c r="L12" s="19">
        <v>1.7400964620741708</v>
      </c>
      <c r="M12" s="19">
        <v>1</v>
      </c>
      <c r="N12" s="19">
        <v>1.2114551801505347</v>
      </c>
      <c r="O12" t="s">
        <v>53</v>
      </c>
      <c r="P12">
        <v>2</v>
      </c>
    </row>
    <row r="13" spans="1:18" x14ac:dyDescent="0.2">
      <c r="A13">
        <v>2022</v>
      </c>
      <c r="B13">
        <v>1</v>
      </c>
      <c r="C13" s="19">
        <v>1.3207204654171707</v>
      </c>
      <c r="D13" s="19">
        <v>1.5189608776743726</v>
      </c>
      <c r="E13" s="14">
        <v>1.9812377973134474</v>
      </c>
      <c r="F13" s="19">
        <v>2</v>
      </c>
      <c r="G13" s="19">
        <v>1.6666666666666665</v>
      </c>
      <c r="H13" s="19">
        <v>2</v>
      </c>
      <c r="I13" s="19">
        <v>1.7551020408163263</v>
      </c>
      <c r="J13" s="19">
        <v>1.642737093759649</v>
      </c>
      <c r="K13" s="19">
        <v>1.8374558303886928</v>
      </c>
      <c r="L13" s="19">
        <v>1.7400964620741708</v>
      </c>
      <c r="M13" s="19">
        <v>1</v>
      </c>
      <c r="N13" s="19">
        <v>1.2114551801505347</v>
      </c>
    </row>
    <row r="14" spans="1:18" x14ac:dyDescent="0.2">
      <c r="A14">
        <v>2021</v>
      </c>
      <c r="B14">
        <v>4</v>
      </c>
      <c r="C14" s="19">
        <v>1.0623212253568708</v>
      </c>
      <c r="D14" s="19">
        <v>1</v>
      </c>
      <c r="E14" s="14">
        <v>1.8535062205984192</v>
      </c>
      <c r="F14" s="19">
        <v>1.2444444444444445</v>
      </c>
      <c r="G14" s="19">
        <v>1.7333333333333343</v>
      </c>
      <c r="H14" s="19">
        <v>1.5</v>
      </c>
      <c r="I14" s="19">
        <v>1.7551020408163263</v>
      </c>
      <c r="J14" s="19">
        <v>1.4608037823789497</v>
      </c>
      <c r="K14" s="19">
        <v>1.7667844522968199</v>
      </c>
      <c r="L14" s="19">
        <v>1.6137941173378847</v>
      </c>
      <c r="M14" s="19">
        <v>1.25</v>
      </c>
      <c r="N14" s="19">
        <v>1.2622821366123267</v>
      </c>
    </row>
    <row r="15" spans="1:18" x14ac:dyDescent="0.2">
      <c r="A15">
        <v>2021</v>
      </c>
      <c r="B15">
        <v>3</v>
      </c>
      <c r="C15" s="19">
        <v>1.0623212253568708</v>
      </c>
      <c r="D15" s="19">
        <v>1</v>
      </c>
      <c r="E15" s="14">
        <v>1.8535062205984192</v>
      </c>
      <c r="F15" s="19">
        <v>1.2444444444444445</v>
      </c>
      <c r="G15" s="19">
        <v>1.7333333333333343</v>
      </c>
      <c r="H15" s="19">
        <v>1.5</v>
      </c>
      <c r="I15" s="19">
        <v>1.7551020408163263</v>
      </c>
      <c r="J15" s="19">
        <v>1.4608037823789497</v>
      </c>
      <c r="K15" s="19">
        <v>1.7667844522968199</v>
      </c>
      <c r="L15" s="19">
        <v>1.6137941173378847</v>
      </c>
      <c r="M15" s="19">
        <v>1.25</v>
      </c>
      <c r="N15" s="19">
        <v>1.2622821366123267</v>
      </c>
      <c r="O15" t="s">
        <v>53</v>
      </c>
      <c r="P15">
        <v>3</v>
      </c>
    </row>
    <row r="16" spans="1:18" x14ac:dyDescent="0.2">
      <c r="A16">
        <v>2021</v>
      </c>
      <c r="B16">
        <v>2</v>
      </c>
      <c r="C16" s="19">
        <v>1.0623212253568708</v>
      </c>
      <c r="D16" s="19">
        <v>1</v>
      </c>
      <c r="E16" s="14">
        <v>1.8535062205984192</v>
      </c>
      <c r="F16" s="19">
        <v>1.2444444444444445</v>
      </c>
      <c r="G16" s="19">
        <v>1.7333333333333343</v>
      </c>
      <c r="H16" s="19">
        <v>1.5</v>
      </c>
      <c r="I16" s="19">
        <v>1.7551020408163263</v>
      </c>
      <c r="J16" s="19">
        <v>1.4608037823789497</v>
      </c>
      <c r="K16" s="19">
        <v>1.7667844522968199</v>
      </c>
      <c r="L16" s="19">
        <v>1.6137941173378847</v>
      </c>
      <c r="M16" s="19">
        <v>1.25</v>
      </c>
      <c r="N16" s="19">
        <v>1.2622821366123267</v>
      </c>
      <c r="O16" t="s">
        <v>53</v>
      </c>
      <c r="P16">
        <v>2</v>
      </c>
    </row>
    <row r="17" spans="1:18" x14ac:dyDescent="0.2">
      <c r="A17">
        <v>2021</v>
      </c>
      <c r="B17">
        <v>1</v>
      </c>
      <c r="C17" s="19">
        <v>1.0623212253568708</v>
      </c>
      <c r="D17" s="19">
        <v>1</v>
      </c>
      <c r="E17" s="14">
        <v>1.8535062205984192</v>
      </c>
      <c r="F17" s="19">
        <v>1.2444444444444445</v>
      </c>
      <c r="G17" s="19">
        <v>1.7333333333333343</v>
      </c>
      <c r="H17" s="19">
        <v>1.5</v>
      </c>
      <c r="I17" s="19">
        <v>1.7551020408163263</v>
      </c>
      <c r="J17" s="19">
        <v>1.4608037823789497</v>
      </c>
      <c r="K17" s="19">
        <v>1.7667844522968199</v>
      </c>
      <c r="L17" s="19">
        <v>1.6137941173378847</v>
      </c>
      <c r="M17" s="19">
        <v>1.25</v>
      </c>
      <c r="N17" s="19">
        <v>1.2622821366123267</v>
      </c>
      <c r="O17" t="s">
        <v>53</v>
      </c>
      <c r="P17">
        <v>2</v>
      </c>
    </row>
    <row r="18" spans="1:18" x14ac:dyDescent="0.2">
      <c r="A18">
        <v>2020</v>
      </c>
      <c r="B18">
        <v>4</v>
      </c>
      <c r="C18" s="19">
        <v>1</v>
      </c>
      <c r="D18" s="19">
        <v>1.009044063256723</v>
      </c>
      <c r="E18" s="15">
        <v>1.8230907521687665</v>
      </c>
      <c r="F18" s="19">
        <v>1.2444444444444445</v>
      </c>
      <c r="G18" s="19">
        <v>1.400000000000001</v>
      </c>
      <c r="H18" s="19">
        <v>1.5</v>
      </c>
      <c r="I18" s="19">
        <v>1.6326530612244898</v>
      </c>
      <c r="J18" s="19">
        <v>1.4628128654374231</v>
      </c>
      <c r="K18" s="19">
        <v>1.6961130742049471</v>
      </c>
      <c r="L18" s="19">
        <v>1.5794629698211851</v>
      </c>
      <c r="M18" s="19">
        <v>1.25</v>
      </c>
      <c r="N18" s="19">
        <v>1.34212620878535</v>
      </c>
      <c r="O18" t="s">
        <v>38</v>
      </c>
      <c r="P18">
        <v>1</v>
      </c>
    </row>
    <row r="19" spans="1:18" x14ac:dyDescent="0.2">
      <c r="A19">
        <v>2020</v>
      </c>
      <c r="B19">
        <v>3</v>
      </c>
      <c r="C19" s="19">
        <v>1</v>
      </c>
      <c r="D19" s="19">
        <v>1.009044063256723</v>
      </c>
      <c r="E19" s="15">
        <v>1.8230907521687665</v>
      </c>
      <c r="F19" s="19">
        <v>1.2444444444444445</v>
      </c>
      <c r="G19" s="19">
        <v>1.400000000000001</v>
      </c>
      <c r="H19" s="19">
        <v>1.5</v>
      </c>
      <c r="I19" s="19">
        <v>1.6326530612244898</v>
      </c>
      <c r="J19" s="19">
        <v>1.4628128654374231</v>
      </c>
      <c r="K19" s="19">
        <v>1.6961130742049471</v>
      </c>
      <c r="L19" s="19">
        <v>1.5794629698211851</v>
      </c>
      <c r="M19" s="19">
        <v>1.25</v>
      </c>
      <c r="N19" s="19">
        <v>1.34212620878535</v>
      </c>
      <c r="O19" t="s">
        <v>35</v>
      </c>
      <c r="P19">
        <v>1</v>
      </c>
    </row>
    <row r="20" spans="1:18" x14ac:dyDescent="0.2">
      <c r="A20">
        <v>2020</v>
      </c>
      <c r="B20">
        <v>2</v>
      </c>
      <c r="C20" s="19">
        <v>1</v>
      </c>
      <c r="D20" s="19">
        <v>1.009044063256723</v>
      </c>
      <c r="E20" s="15">
        <v>1.8230907521687665</v>
      </c>
      <c r="F20" s="19">
        <v>1.2444444444444445</v>
      </c>
      <c r="G20" s="19">
        <v>1.400000000000001</v>
      </c>
      <c r="H20" s="19">
        <v>1.5</v>
      </c>
      <c r="I20" s="19">
        <v>1.6326530612244898</v>
      </c>
      <c r="J20" s="19">
        <v>1.4628128654374231</v>
      </c>
      <c r="K20" s="19">
        <v>1.6961130742049471</v>
      </c>
      <c r="L20" s="19">
        <v>1.5794629698211851</v>
      </c>
      <c r="M20" s="19">
        <v>1.25</v>
      </c>
      <c r="N20" s="19">
        <v>1.34212620878535</v>
      </c>
      <c r="O20" t="s">
        <v>35</v>
      </c>
      <c r="P20">
        <v>2</v>
      </c>
    </row>
    <row r="21" spans="1:18" x14ac:dyDescent="0.2">
      <c r="A21">
        <v>2020</v>
      </c>
      <c r="B21">
        <v>1</v>
      </c>
      <c r="C21" s="19">
        <v>1</v>
      </c>
      <c r="D21" s="19">
        <v>1.009044063256723</v>
      </c>
      <c r="E21" s="15">
        <v>1.8230907521687665</v>
      </c>
      <c r="F21" s="19">
        <v>1.2444444444444445</v>
      </c>
      <c r="G21" s="19">
        <v>1.400000000000001</v>
      </c>
      <c r="H21" s="19">
        <v>1.5</v>
      </c>
      <c r="I21" s="19">
        <v>1.6326530612244898</v>
      </c>
      <c r="J21" s="19">
        <v>1.4628128654374231</v>
      </c>
      <c r="K21" s="19">
        <v>1.6961130742049471</v>
      </c>
      <c r="L21" s="19">
        <v>1.5794629698211851</v>
      </c>
      <c r="M21" s="19">
        <v>1.25</v>
      </c>
      <c r="N21" s="19">
        <v>1.34212620878535</v>
      </c>
    </row>
    <row r="22" spans="1:18" x14ac:dyDescent="0.2">
      <c r="A22">
        <v>2019</v>
      </c>
      <c r="B22">
        <v>4</v>
      </c>
      <c r="C22" s="19">
        <v>1.2274415573487816</v>
      </c>
      <c r="D22" s="19">
        <v>1.4559167138679276</v>
      </c>
      <c r="E22" s="15">
        <v>1.7232063969652622</v>
      </c>
      <c r="F22" s="19">
        <v>1</v>
      </c>
      <c r="G22" s="19">
        <v>1.400000000000001</v>
      </c>
      <c r="H22" s="19">
        <v>1.7999999999999972</v>
      </c>
      <c r="I22" s="19">
        <v>1.6054421768707483</v>
      </c>
      <c r="J22" s="19">
        <v>1.4486198402690857</v>
      </c>
      <c r="K22" s="19">
        <v>1.6395759717314486</v>
      </c>
      <c r="L22" s="19">
        <v>1.5440979060002673</v>
      </c>
      <c r="M22" s="19">
        <v>1.35</v>
      </c>
      <c r="N22" s="19">
        <v>1.3282130345134415</v>
      </c>
    </row>
    <row r="23" spans="1:18" x14ac:dyDescent="0.2">
      <c r="A23">
        <v>2019</v>
      </c>
      <c r="B23">
        <v>3</v>
      </c>
      <c r="C23" s="19">
        <v>1.2274415573487816</v>
      </c>
      <c r="D23" s="19">
        <v>1.4559167138679276</v>
      </c>
      <c r="E23" s="15">
        <v>1.7232063969652622</v>
      </c>
      <c r="F23" s="19">
        <v>1</v>
      </c>
      <c r="G23" s="19">
        <v>1.400000000000001</v>
      </c>
      <c r="H23" s="19">
        <v>1.7999999999999972</v>
      </c>
      <c r="I23" s="19">
        <v>1.6054421768707483</v>
      </c>
      <c r="J23" s="19">
        <v>1.4486198402690857</v>
      </c>
      <c r="K23" s="19">
        <v>1.6395759717314486</v>
      </c>
      <c r="L23" s="19">
        <v>1.5440979060002673</v>
      </c>
      <c r="M23" s="19">
        <v>1.35</v>
      </c>
      <c r="N23" s="19">
        <v>1.3282130345134415</v>
      </c>
      <c r="O23" t="s">
        <v>38</v>
      </c>
      <c r="P23">
        <v>1</v>
      </c>
      <c r="Q23" t="s">
        <v>38</v>
      </c>
      <c r="R23">
        <v>1</v>
      </c>
    </row>
    <row r="24" spans="1:18" x14ac:dyDescent="0.2">
      <c r="A24">
        <v>2019</v>
      </c>
      <c r="B24">
        <v>2</v>
      </c>
      <c r="C24" s="19">
        <v>1.2274415573487816</v>
      </c>
      <c r="D24" s="19">
        <v>1.4559167138679276</v>
      </c>
      <c r="E24" s="15">
        <v>1.7232063969652622</v>
      </c>
      <c r="F24" s="19">
        <v>1</v>
      </c>
      <c r="G24" s="19">
        <v>1.400000000000001</v>
      </c>
      <c r="H24" s="19">
        <v>1.7999999999999972</v>
      </c>
      <c r="I24" s="19">
        <v>1.6054421768707483</v>
      </c>
      <c r="J24" s="19">
        <v>1.4486198402690857</v>
      </c>
      <c r="K24" s="19">
        <v>1.6395759717314486</v>
      </c>
      <c r="L24" s="19">
        <v>1.5440979060002673</v>
      </c>
      <c r="M24" s="19">
        <v>1.35</v>
      </c>
      <c r="N24" s="19">
        <v>1.3282130345134415</v>
      </c>
      <c r="O24" t="s">
        <v>38</v>
      </c>
      <c r="P24">
        <v>2</v>
      </c>
    </row>
    <row r="25" spans="1:18" x14ac:dyDescent="0.2">
      <c r="A25">
        <v>2019</v>
      </c>
      <c r="B25">
        <v>1</v>
      </c>
      <c r="C25" s="19">
        <v>1.2274415573487816</v>
      </c>
      <c r="D25" s="19">
        <v>1.4559167138679276</v>
      </c>
      <c r="E25" s="15">
        <v>1.7232063969652622</v>
      </c>
      <c r="F25" s="19">
        <v>1</v>
      </c>
      <c r="G25" s="19">
        <v>1.400000000000001</v>
      </c>
      <c r="H25" s="19">
        <v>1.7999999999999972</v>
      </c>
      <c r="I25" s="19">
        <v>1.6054421768707483</v>
      </c>
      <c r="J25" s="19">
        <v>1.4486198402690857</v>
      </c>
      <c r="K25" s="19">
        <v>1.6395759717314486</v>
      </c>
      <c r="L25" s="19">
        <v>1.5440979060002673</v>
      </c>
      <c r="M25" s="19">
        <v>1.35</v>
      </c>
      <c r="N25" s="19">
        <v>1.3282130345134415</v>
      </c>
    </row>
    <row r="26" spans="1:18" x14ac:dyDescent="0.2">
      <c r="A26">
        <v>2018</v>
      </c>
      <c r="B26">
        <v>4</v>
      </c>
      <c r="C26" s="19">
        <v>1.1993286405275769</v>
      </c>
      <c r="D26" s="19">
        <v>1.9129371910895521</v>
      </c>
      <c r="E26" s="15">
        <v>1.6458824425727498</v>
      </c>
      <c r="F26" s="19">
        <v>1</v>
      </c>
      <c r="G26" s="19">
        <v>1.4666666666666686</v>
      </c>
      <c r="H26" s="19">
        <v>1.3999999999999915</v>
      </c>
      <c r="I26" s="19">
        <v>1.1904761904761902</v>
      </c>
      <c r="J26" s="19">
        <v>1.3523920997745156</v>
      </c>
      <c r="K26" s="19">
        <v>1.5971731448763253</v>
      </c>
      <c r="L26" s="19">
        <v>1.4747826223254203</v>
      </c>
      <c r="M26" s="19">
        <v>1.45</v>
      </c>
      <c r="N26" s="19">
        <v>1.5695627377617263</v>
      </c>
    </row>
    <row r="27" spans="1:18" x14ac:dyDescent="0.2">
      <c r="A27">
        <v>2018</v>
      </c>
      <c r="B27">
        <v>3</v>
      </c>
      <c r="C27" s="19">
        <v>1.1993286405275769</v>
      </c>
      <c r="D27" s="19">
        <v>1.9129371910895521</v>
      </c>
      <c r="E27" s="15">
        <v>1.6458824425727498</v>
      </c>
      <c r="F27" s="19">
        <v>1</v>
      </c>
      <c r="G27" s="19">
        <v>1.4666666666666686</v>
      </c>
      <c r="H27" s="19">
        <v>1.3999999999999915</v>
      </c>
      <c r="I27" s="19">
        <v>1.1904761904761902</v>
      </c>
      <c r="J27" s="19">
        <v>1.3523920997745156</v>
      </c>
      <c r="K27" s="19">
        <v>1.5971731448763253</v>
      </c>
      <c r="L27" s="19">
        <v>1.4747826223254203</v>
      </c>
      <c r="M27" s="19">
        <v>1.45</v>
      </c>
      <c r="N27" s="19">
        <v>1.5695627377617263</v>
      </c>
      <c r="O27" t="s">
        <v>53</v>
      </c>
      <c r="P27">
        <v>2</v>
      </c>
    </row>
    <row r="28" spans="1:18" x14ac:dyDescent="0.2">
      <c r="A28">
        <v>2018</v>
      </c>
      <c r="B28">
        <v>2</v>
      </c>
      <c r="C28" s="19">
        <v>1.1993286405275769</v>
      </c>
      <c r="D28" s="19">
        <v>1.9129371910895521</v>
      </c>
      <c r="E28" s="15">
        <v>1.6458824425727498</v>
      </c>
      <c r="F28" s="19">
        <v>1</v>
      </c>
      <c r="G28" s="19">
        <v>1.4666666666666686</v>
      </c>
      <c r="H28" s="19">
        <v>1.3999999999999915</v>
      </c>
      <c r="I28" s="19">
        <v>1.1904761904761902</v>
      </c>
      <c r="J28" s="19">
        <v>1.3523920997745156</v>
      </c>
      <c r="K28" s="19">
        <v>1.5971731448763253</v>
      </c>
      <c r="L28" s="19">
        <v>1.4747826223254203</v>
      </c>
      <c r="M28" s="19">
        <v>1.45</v>
      </c>
      <c r="N28" s="19">
        <v>1.5695627377617263</v>
      </c>
    </row>
    <row r="29" spans="1:18" x14ac:dyDescent="0.2">
      <c r="A29">
        <v>2018</v>
      </c>
      <c r="B29">
        <v>1</v>
      </c>
      <c r="C29" s="19">
        <v>1.1993286405275769</v>
      </c>
      <c r="D29" s="19">
        <v>1.9129371910895521</v>
      </c>
      <c r="E29" s="15">
        <v>1.6458824425727498</v>
      </c>
      <c r="F29" s="19">
        <v>1</v>
      </c>
      <c r="G29" s="19">
        <v>1.4666666666666686</v>
      </c>
      <c r="H29" s="19">
        <v>1.3999999999999915</v>
      </c>
      <c r="I29" s="19">
        <v>1.1904761904761902</v>
      </c>
      <c r="J29" s="19">
        <v>1.3523920997745156</v>
      </c>
      <c r="K29" s="19">
        <v>1.5971731448763253</v>
      </c>
      <c r="L29" s="19">
        <v>1.4747826223254203</v>
      </c>
      <c r="M29" s="19">
        <v>1.45</v>
      </c>
      <c r="N29" s="19">
        <v>1.5695627377617263</v>
      </c>
      <c r="O29" t="s">
        <v>35</v>
      </c>
      <c r="P29">
        <v>2</v>
      </c>
    </row>
    <row r="30" spans="1:18" x14ac:dyDescent="0.2">
      <c r="A30">
        <v>2017</v>
      </c>
      <c r="B30">
        <v>4</v>
      </c>
      <c r="C30" s="19">
        <v>1.2421570652272056</v>
      </c>
      <c r="D30" s="19">
        <v>1.5764153289556413</v>
      </c>
      <c r="E30" s="15">
        <v>1.45484679054419</v>
      </c>
      <c r="F30" s="19">
        <v>1.7777777777777777</v>
      </c>
      <c r="G30" s="19">
        <v>1.6666666666666665</v>
      </c>
      <c r="H30" s="19">
        <v>1.1999999999999886</v>
      </c>
      <c r="I30" s="19">
        <v>1.3401360544217689</v>
      </c>
      <c r="J30" s="19">
        <v>1.235035182336911</v>
      </c>
      <c r="K30" s="19">
        <v>1.5123674911660778</v>
      </c>
      <c r="L30" s="19">
        <v>1.3737013367514945</v>
      </c>
      <c r="M30" s="19">
        <v>1.45</v>
      </c>
      <c r="N30" s="19">
        <v>1.8129179436077605</v>
      </c>
    </row>
    <row r="31" spans="1:18" x14ac:dyDescent="0.2">
      <c r="A31">
        <v>2017</v>
      </c>
      <c r="B31">
        <v>3</v>
      </c>
      <c r="C31" s="19">
        <v>1.2421570652272056</v>
      </c>
      <c r="D31" s="19">
        <v>1.5764153289556413</v>
      </c>
      <c r="E31" s="15">
        <v>1.45484679054419</v>
      </c>
      <c r="F31" s="19">
        <v>1.7777777777777777</v>
      </c>
      <c r="G31" s="19">
        <v>1.6666666666666665</v>
      </c>
      <c r="H31" s="19">
        <v>1.1999999999999886</v>
      </c>
      <c r="I31" s="19">
        <v>1.3401360544217689</v>
      </c>
      <c r="J31" s="19">
        <v>1.235035182336911</v>
      </c>
      <c r="K31" s="19">
        <v>1.5123674911660778</v>
      </c>
      <c r="L31" s="19">
        <v>1.3737013367514945</v>
      </c>
      <c r="M31" s="19">
        <v>1.45</v>
      </c>
      <c r="N31" s="19">
        <v>1.8129179436077605</v>
      </c>
    </row>
    <row r="32" spans="1:18" x14ac:dyDescent="0.2">
      <c r="A32">
        <v>2017</v>
      </c>
      <c r="B32">
        <v>2</v>
      </c>
      <c r="C32" s="19">
        <v>1.2421570652272056</v>
      </c>
      <c r="D32" s="19">
        <v>1.5764153289556413</v>
      </c>
      <c r="E32" s="15">
        <v>1.45484679054419</v>
      </c>
      <c r="F32" s="19">
        <v>1.7777777777777777</v>
      </c>
      <c r="G32" s="19">
        <v>1.6666666666666665</v>
      </c>
      <c r="H32" s="19">
        <v>1.1999999999999886</v>
      </c>
      <c r="I32" s="19">
        <v>1.3401360544217689</v>
      </c>
      <c r="J32" s="19">
        <v>1.235035182336911</v>
      </c>
      <c r="K32" s="19">
        <v>1.5123674911660778</v>
      </c>
      <c r="L32" s="19">
        <v>1.3737013367514945</v>
      </c>
      <c r="M32" s="19">
        <v>1.45</v>
      </c>
      <c r="N32" s="19">
        <v>1.8129179436077605</v>
      </c>
    </row>
    <row r="33" spans="1:18" x14ac:dyDescent="0.2">
      <c r="A33">
        <v>2017</v>
      </c>
      <c r="B33">
        <v>1</v>
      </c>
      <c r="C33" s="19">
        <v>1.2421570652272056</v>
      </c>
      <c r="D33" s="19">
        <v>1.5764153289556413</v>
      </c>
      <c r="E33" s="15">
        <v>1.45484679054419</v>
      </c>
      <c r="F33" s="19">
        <v>1.7777777777777777</v>
      </c>
      <c r="G33" s="19">
        <v>1.6666666666666665</v>
      </c>
      <c r="H33" s="19">
        <v>1.1999999999999886</v>
      </c>
      <c r="I33" s="19">
        <v>1.3401360544217689</v>
      </c>
      <c r="J33" s="19">
        <v>1.235035182336911</v>
      </c>
      <c r="K33" s="19">
        <v>1.5123674911660778</v>
      </c>
      <c r="L33" s="19">
        <v>1.3737013367514945</v>
      </c>
      <c r="M33" s="19">
        <v>1.45</v>
      </c>
      <c r="N33" s="19">
        <v>1.8129179436077605</v>
      </c>
    </row>
    <row r="34" spans="1:18" x14ac:dyDescent="0.2">
      <c r="A34">
        <v>2016</v>
      </c>
      <c r="B34">
        <v>4</v>
      </c>
      <c r="C34" s="19">
        <v>1.1649017975430904</v>
      </c>
      <c r="D34" s="19">
        <v>1.705256465426551</v>
      </c>
      <c r="E34" s="15">
        <v>1.409362111489771</v>
      </c>
      <c r="F34" s="19">
        <v>1.7777777777777777</v>
      </c>
      <c r="G34" s="19">
        <v>2</v>
      </c>
      <c r="H34" s="19">
        <v>1.1999999999999886</v>
      </c>
      <c r="I34" s="19">
        <v>1.3877551020408161</v>
      </c>
      <c r="J34" s="19">
        <v>1.1502172548906617</v>
      </c>
      <c r="K34" s="19">
        <v>1.2614840989399296</v>
      </c>
      <c r="L34" s="19">
        <v>1.2058506769152957</v>
      </c>
      <c r="M34" s="19">
        <v>1.45</v>
      </c>
      <c r="N34" s="19">
        <v>1.8104424013386597</v>
      </c>
      <c r="O34" t="s">
        <v>38</v>
      </c>
      <c r="P34">
        <v>1</v>
      </c>
    </row>
    <row r="35" spans="1:18" x14ac:dyDescent="0.2">
      <c r="A35">
        <v>2016</v>
      </c>
      <c r="B35">
        <v>3</v>
      </c>
      <c r="C35" s="19">
        <v>1.1649017975430904</v>
      </c>
      <c r="D35" s="19">
        <v>1.705256465426551</v>
      </c>
      <c r="E35" s="15">
        <v>1.409362111489771</v>
      </c>
      <c r="F35" s="19">
        <v>1.7777777777777777</v>
      </c>
      <c r="G35" s="19">
        <v>2</v>
      </c>
      <c r="H35" s="19">
        <v>1.1999999999999886</v>
      </c>
      <c r="I35" s="19">
        <v>1.3877551020408161</v>
      </c>
      <c r="J35" s="19">
        <v>1.1502172548906617</v>
      </c>
      <c r="K35" s="19">
        <v>1.2614840989399296</v>
      </c>
      <c r="L35" s="19">
        <v>1.2058506769152957</v>
      </c>
      <c r="M35" s="19">
        <v>1.45</v>
      </c>
      <c r="N35" s="19">
        <v>1.8104424013386597</v>
      </c>
    </row>
    <row r="36" spans="1:18" x14ac:dyDescent="0.2">
      <c r="A36">
        <v>2016</v>
      </c>
      <c r="B36">
        <v>2</v>
      </c>
      <c r="C36" s="19">
        <v>1.1649017975430904</v>
      </c>
      <c r="D36" s="19">
        <v>1.705256465426551</v>
      </c>
      <c r="E36" s="15">
        <v>1.409362111489771</v>
      </c>
      <c r="F36" s="19">
        <v>1.7777777777777777</v>
      </c>
      <c r="G36" s="19">
        <v>2</v>
      </c>
      <c r="H36" s="19">
        <v>1.1999999999999886</v>
      </c>
      <c r="I36" s="19">
        <v>1.3877551020408161</v>
      </c>
      <c r="J36" s="19">
        <v>1.1502172548906617</v>
      </c>
      <c r="K36" s="19">
        <v>1.2614840989399296</v>
      </c>
      <c r="L36" s="19">
        <v>1.2058506769152957</v>
      </c>
      <c r="M36" s="19">
        <v>1.45</v>
      </c>
      <c r="N36" s="19">
        <v>1.8104424013386597</v>
      </c>
      <c r="O36" t="s">
        <v>38</v>
      </c>
      <c r="P36">
        <v>2</v>
      </c>
    </row>
    <row r="37" spans="1:18" x14ac:dyDescent="0.2">
      <c r="A37">
        <v>2016</v>
      </c>
      <c r="B37">
        <v>1</v>
      </c>
      <c r="C37" s="19">
        <v>1.1649017975430904</v>
      </c>
      <c r="D37" s="19">
        <v>1.705256465426551</v>
      </c>
      <c r="E37" s="15">
        <v>1.409362111489771</v>
      </c>
      <c r="F37" s="19">
        <v>1.7777777777777777</v>
      </c>
      <c r="G37" s="19">
        <v>2</v>
      </c>
      <c r="H37" s="19">
        <v>1.1999999999999886</v>
      </c>
      <c r="I37" s="19">
        <v>1.3877551020408161</v>
      </c>
      <c r="J37" s="19">
        <v>1.1502172548906617</v>
      </c>
      <c r="K37" s="19">
        <v>1.2614840989399296</v>
      </c>
      <c r="L37" s="19">
        <v>1.2058506769152957</v>
      </c>
      <c r="M37" s="19">
        <v>1.45</v>
      </c>
      <c r="N37" s="19">
        <v>1.8104424013386597</v>
      </c>
      <c r="O37" t="s">
        <v>38</v>
      </c>
      <c r="P37">
        <v>2</v>
      </c>
    </row>
    <row r="38" spans="1:18" x14ac:dyDescent="0.2">
      <c r="A38">
        <v>2015</v>
      </c>
      <c r="B38">
        <v>4</v>
      </c>
      <c r="C38" s="19">
        <v>1.1950241449607442</v>
      </c>
      <c r="D38" s="19">
        <v>1.5214470963195226</v>
      </c>
      <c r="E38" s="16">
        <v>1.227423395272095</v>
      </c>
      <c r="F38" s="19">
        <v>1.9555555555555555</v>
      </c>
      <c r="G38" s="19">
        <v>1</v>
      </c>
      <c r="H38" s="19">
        <v>1</v>
      </c>
      <c r="I38" s="19">
        <v>1.3129251700680269</v>
      </c>
      <c r="J38" s="19">
        <v>1.065604010704029</v>
      </c>
      <c r="K38" s="19">
        <v>1.0600706713780921</v>
      </c>
      <c r="L38" s="19">
        <v>1.0628373410410605</v>
      </c>
      <c r="M38" s="19">
        <v>1.55</v>
      </c>
      <c r="N38" s="19">
        <v>1.8942034707729194</v>
      </c>
      <c r="O38" t="s">
        <v>38</v>
      </c>
      <c r="P38">
        <v>2</v>
      </c>
    </row>
    <row r="39" spans="1:18" x14ac:dyDescent="0.2">
      <c r="A39">
        <v>2015</v>
      </c>
      <c r="B39">
        <v>3</v>
      </c>
      <c r="C39" s="19">
        <v>1.1950241449607442</v>
      </c>
      <c r="D39" s="19">
        <v>1.5214470963195226</v>
      </c>
      <c r="E39" s="16">
        <v>1.227423395272095</v>
      </c>
      <c r="F39" s="19">
        <v>1.9555555555555555</v>
      </c>
      <c r="G39" s="19">
        <v>1</v>
      </c>
      <c r="H39" s="19">
        <v>1</v>
      </c>
      <c r="I39" s="19">
        <v>1.3129251700680269</v>
      </c>
      <c r="J39" s="19">
        <v>1.065604010704029</v>
      </c>
      <c r="K39" s="19">
        <v>1.0600706713780921</v>
      </c>
      <c r="L39" s="19">
        <v>1.0628373410410605</v>
      </c>
      <c r="M39" s="19">
        <v>1.55</v>
      </c>
      <c r="N39" s="19">
        <v>1.8942034707729194</v>
      </c>
    </row>
    <row r="40" spans="1:18" x14ac:dyDescent="0.2">
      <c r="A40">
        <v>2015</v>
      </c>
      <c r="B40">
        <v>2</v>
      </c>
      <c r="C40" s="19">
        <v>1.1950241449607442</v>
      </c>
      <c r="D40" s="19">
        <v>1.5214470963195226</v>
      </c>
      <c r="E40" s="16">
        <v>1.227423395272095</v>
      </c>
      <c r="F40" s="19">
        <v>1.9555555555555555</v>
      </c>
      <c r="G40" s="19">
        <v>1</v>
      </c>
      <c r="H40" s="19">
        <v>1</v>
      </c>
      <c r="I40" s="19">
        <v>1.3129251700680269</v>
      </c>
      <c r="J40" s="19">
        <v>1.065604010704029</v>
      </c>
      <c r="K40" s="19">
        <v>1.0600706713780921</v>
      </c>
      <c r="L40" s="19">
        <v>1.0628373410410605</v>
      </c>
      <c r="M40" s="19">
        <v>1.55</v>
      </c>
      <c r="N40" s="19">
        <v>1.8942034707729194</v>
      </c>
      <c r="O40" t="s">
        <v>35</v>
      </c>
      <c r="P40">
        <v>2</v>
      </c>
    </row>
    <row r="41" spans="1:18" x14ac:dyDescent="0.2">
      <c r="A41">
        <v>2015</v>
      </c>
      <c r="B41">
        <v>1</v>
      </c>
      <c r="C41" s="19">
        <v>1.1950241449607442</v>
      </c>
      <c r="D41" s="19">
        <v>1.5214470963195226</v>
      </c>
      <c r="E41" s="16">
        <v>1.227423395272095</v>
      </c>
      <c r="F41" s="19">
        <v>1.9555555555555555</v>
      </c>
      <c r="G41" s="19">
        <v>1</v>
      </c>
      <c r="H41" s="19">
        <v>1</v>
      </c>
      <c r="I41" s="19">
        <v>1.3129251700680269</v>
      </c>
      <c r="J41" s="19">
        <v>1.065604010704029</v>
      </c>
      <c r="K41" s="19">
        <v>1.0600706713780921</v>
      </c>
      <c r="L41" s="19">
        <v>1.0628373410410605</v>
      </c>
      <c r="M41" s="19">
        <v>1.55</v>
      </c>
      <c r="N41" s="19">
        <v>1.8942034707729194</v>
      </c>
    </row>
    <row r="42" spans="1:18" x14ac:dyDescent="0.2">
      <c r="A42">
        <v>2014</v>
      </c>
      <c r="B42">
        <v>4</v>
      </c>
      <c r="C42" s="19">
        <v>2</v>
      </c>
      <c r="D42" s="19">
        <v>2</v>
      </c>
      <c r="E42" s="16">
        <v>1</v>
      </c>
      <c r="F42" s="19">
        <v>1.9555555555555555</v>
      </c>
      <c r="G42" s="19">
        <v>1</v>
      </c>
      <c r="H42" s="19">
        <v>1.1999999999999886</v>
      </c>
      <c r="I42" s="19">
        <v>1</v>
      </c>
      <c r="J42" s="19">
        <v>1</v>
      </c>
      <c r="K42" s="19">
        <v>1</v>
      </c>
      <c r="L42" s="19">
        <v>1</v>
      </c>
      <c r="M42" s="19">
        <v>2</v>
      </c>
      <c r="N42" s="19">
        <v>2</v>
      </c>
      <c r="O42" t="s">
        <v>35</v>
      </c>
      <c r="P42">
        <v>2</v>
      </c>
      <c r="Q42" t="s">
        <v>38</v>
      </c>
      <c r="R42">
        <v>1</v>
      </c>
    </row>
    <row r="43" spans="1:18" x14ac:dyDescent="0.2">
      <c r="A43">
        <v>2014</v>
      </c>
      <c r="B43">
        <v>3</v>
      </c>
      <c r="C43" s="19">
        <v>2</v>
      </c>
      <c r="D43" s="19">
        <v>2</v>
      </c>
      <c r="E43" s="16">
        <v>1</v>
      </c>
      <c r="F43" s="19">
        <v>1.9555555555555555</v>
      </c>
      <c r="G43" s="19">
        <v>1</v>
      </c>
      <c r="H43" s="19">
        <v>1.1999999999999886</v>
      </c>
      <c r="I43" s="19">
        <v>1</v>
      </c>
      <c r="J43" s="19">
        <v>1</v>
      </c>
      <c r="K43" s="19">
        <v>1</v>
      </c>
      <c r="L43" s="19">
        <v>1</v>
      </c>
      <c r="M43" s="19">
        <v>2</v>
      </c>
      <c r="N43" s="19">
        <v>2</v>
      </c>
    </row>
    <row r="44" spans="1:18" x14ac:dyDescent="0.2">
      <c r="A44">
        <v>2014</v>
      </c>
      <c r="B44">
        <v>2</v>
      </c>
      <c r="C44" s="19">
        <v>2</v>
      </c>
      <c r="D44" s="19">
        <v>2</v>
      </c>
      <c r="E44" s="16">
        <v>1</v>
      </c>
      <c r="F44" s="19">
        <v>1.9555555555555555</v>
      </c>
      <c r="G44" s="19">
        <v>1</v>
      </c>
      <c r="H44" s="19">
        <v>1.1999999999999886</v>
      </c>
      <c r="I44" s="19">
        <v>1</v>
      </c>
      <c r="J44" s="19">
        <v>1</v>
      </c>
      <c r="K44" s="19">
        <v>1</v>
      </c>
      <c r="L44" s="19">
        <v>1</v>
      </c>
      <c r="M44" s="19">
        <v>2</v>
      </c>
      <c r="N44" s="19">
        <v>2</v>
      </c>
    </row>
    <row r="45" spans="1:18" x14ac:dyDescent="0.2">
      <c r="A45">
        <v>2014</v>
      </c>
      <c r="B45">
        <v>1</v>
      </c>
      <c r="C45" s="19">
        <v>2</v>
      </c>
      <c r="D45" s="19">
        <v>2</v>
      </c>
      <c r="E45" s="16">
        <v>1</v>
      </c>
      <c r="F45" s="19">
        <v>1.9555555555555555</v>
      </c>
      <c r="G45" s="19">
        <v>1</v>
      </c>
      <c r="H45" s="19">
        <v>1.1999999999999886</v>
      </c>
      <c r="I45" s="19">
        <v>1</v>
      </c>
      <c r="J45" s="19">
        <v>1</v>
      </c>
      <c r="K45" s="19">
        <v>1</v>
      </c>
      <c r="L45" s="19">
        <v>1</v>
      </c>
      <c r="M45" s="19">
        <v>2</v>
      </c>
      <c r="N45" s="19">
        <v>2</v>
      </c>
    </row>
    <row r="46" spans="1:18" x14ac:dyDescent="0.2">
      <c r="A46" t="s">
        <v>91</v>
      </c>
      <c r="C46" t="s">
        <v>92</v>
      </c>
      <c r="D46" s="4" t="s">
        <v>92</v>
      </c>
      <c r="E46" s="3" t="s">
        <v>93</v>
      </c>
      <c r="F46" t="s">
        <v>93</v>
      </c>
      <c r="G46" s="18" t="s">
        <v>92</v>
      </c>
      <c r="H46" t="s">
        <v>92</v>
      </c>
      <c r="I46" t="s">
        <v>92</v>
      </c>
      <c r="J46" t="s">
        <v>92</v>
      </c>
      <c r="K46" t="s">
        <v>92</v>
      </c>
      <c r="L46" s="19"/>
      <c r="M46" t="s">
        <v>92</v>
      </c>
      <c r="N46" t="s">
        <v>93</v>
      </c>
      <c r="O46" s="7"/>
      <c r="P46" s="21"/>
    </row>
    <row r="47" spans="1:18" x14ac:dyDescent="0.2">
      <c r="O47" s="20"/>
      <c r="P47" s="8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DA13-B3A6-6749-A7C6-E68FA6F37F7E}">
  <dimension ref="A1:U46"/>
  <sheetViews>
    <sheetView zoomScale="90" zoomScaleNormal="90" workbookViewId="0">
      <selection activeCell="C2" sqref="C2"/>
    </sheetView>
  </sheetViews>
  <sheetFormatPr baseColWidth="10" defaultRowHeight="16" x14ac:dyDescent="0.2"/>
  <cols>
    <col min="3" max="3" width="16.83203125" bestFit="1" customWidth="1"/>
    <col min="4" max="4" width="15.6640625" bestFit="1" customWidth="1"/>
    <col min="5" max="5" width="16.83203125" bestFit="1" customWidth="1"/>
    <col min="6" max="6" width="10.83203125" customWidth="1"/>
    <col min="7" max="7" width="13.6640625" bestFit="1" customWidth="1"/>
    <col min="8" max="8" width="12.6640625" bestFit="1" customWidth="1"/>
    <col min="9" max="14" width="11.83203125" bestFit="1" customWidth="1"/>
    <col min="15" max="17" width="14.6640625" bestFit="1" customWidth="1"/>
  </cols>
  <sheetData>
    <row r="1" spans="1:21" ht="85" x14ac:dyDescent="0.2">
      <c r="A1" s="10" t="s">
        <v>0</v>
      </c>
      <c r="B1" s="10" t="s">
        <v>1</v>
      </c>
      <c r="C1" s="10" t="s">
        <v>80</v>
      </c>
      <c r="D1" s="10" t="s">
        <v>11</v>
      </c>
      <c r="E1" s="10" t="s">
        <v>79</v>
      </c>
      <c r="F1" s="10" t="s">
        <v>15</v>
      </c>
      <c r="G1" s="10" t="s">
        <v>16</v>
      </c>
      <c r="H1" s="10" t="s">
        <v>17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  <c r="R1" s="10" t="s">
        <v>31</v>
      </c>
      <c r="S1" s="10" t="s">
        <v>33</v>
      </c>
      <c r="T1" s="10" t="s">
        <v>95</v>
      </c>
      <c r="U1" s="10" t="s">
        <v>96</v>
      </c>
    </row>
    <row r="2" spans="1:21" x14ac:dyDescent="0.2">
      <c r="A2">
        <v>2024</v>
      </c>
      <c r="B2">
        <v>4</v>
      </c>
      <c r="C2" s="3">
        <v>1</v>
      </c>
      <c r="D2" s="3">
        <v>2</v>
      </c>
      <c r="E2" s="3">
        <v>1.9743176179432038</v>
      </c>
      <c r="F2" s="3">
        <v>1.8399733578028563</v>
      </c>
      <c r="G2" s="3">
        <v>1.2849999999999999</v>
      </c>
      <c r="H2" s="3">
        <v>1.9576185671039352</v>
      </c>
      <c r="I2" s="3">
        <v>1</v>
      </c>
      <c r="J2" s="3">
        <v>1.5093371242802953</v>
      </c>
      <c r="K2" s="3">
        <v>1.8380563771755867</v>
      </c>
      <c r="L2" s="3">
        <v>1.042760231177325</v>
      </c>
      <c r="M2" s="3">
        <v>1</v>
      </c>
      <c r="N2" s="3">
        <v>1.039823117871457</v>
      </c>
      <c r="O2" s="3">
        <v>2</v>
      </c>
      <c r="P2" s="3">
        <v>2</v>
      </c>
      <c r="Q2" s="3">
        <v>2</v>
      </c>
    </row>
    <row r="3" spans="1:21" x14ac:dyDescent="0.2">
      <c r="A3">
        <v>2024</v>
      </c>
      <c r="B3">
        <v>3</v>
      </c>
      <c r="C3" s="3">
        <v>1</v>
      </c>
      <c r="D3" s="3">
        <v>2</v>
      </c>
      <c r="E3" s="3">
        <v>1.9743176179432038</v>
      </c>
      <c r="F3" s="3">
        <v>1.8399733578028563</v>
      </c>
      <c r="G3" s="3">
        <v>1.2849999999999999</v>
      </c>
      <c r="H3" s="3">
        <v>1.9576185671039352</v>
      </c>
      <c r="I3" s="3">
        <v>1</v>
      </c>
      <c r="J3" s="3">
        <v>1.5093371242802953</v>
      </c>
      <c r="K3" s="3">
        <v>1.8380563771755867</v>
      </c>
      <c r="L3" s="3">
        <v>1.042760231177325</v>
      </c>
      <c r="M3" s="3">
        <v>1</v>
      </c>
      <c r="N3" s="3">
        <v>1.039823117871457</v>
      </c>
      <c r="O3" s="3">
        <v>2</v>
      </c>
      <c r="P3" s="3">
        <v>2</v>
      </c>
      <c r="Q3" s="3">
        <v>2</v>
      </c>
      <c r="R3" t="s">
        <v>38</v>
      </c>
      <c r="S3">
        <v>2</v>
      </c>
    </row>
    <row r="4" spans="1:21" x14ac:dyDescent="0.2">
      <c r="A4">
        <v>2024</v>
      </c>
      <c r="B4">
        <v>2</v>
      </c>
      <c r="C4" s="3">
        <v>1</v>
      </c>
      <c r="D4" s="3">
        <v>2</v>
      </c>
      <c r="E4" s="3">
        <v>1.9743176179432038</v>
      </c>
      <c r="F4" s="3">
        <v>1.8399733578028563</v>
      </c>
      <c r="G4" s="3">
        <v>1.2849999999999999</v>
      </c>
      <c r="H4" s="3">
        <v>1.9576185671039352</v>
      </c>
      <c r="I4" s="3">
        <v>1</v>
      </c>
      <c r="J4" s="3">
        <v>1.5093371242802953</v>
      </c>
      <c r="K4" s="3">
        <v>1.8380563771755867</v>
      </c>
      <c r="L4" s="3">
        <v>1.042760231177325</v>
      </c>
      <c r="M4" s="3">
        <v>1</v>
      </c>
      <c r="N4" s="3">
        <v>1.039823117871457</v>
      </c>
      <c r="O4" s="3">
        <v>2</v>
      </c>
      <c r="P4" s="3">
        <v>2</v>
      </c>
      <c r="Q4" s="3">
        <v>2</v>
      </c>
      <c r="R4" t="s">
        <v>38</v>
      </c>
      <c r="S4">
        <v>2</v>
      </c>
    </row>
    <row r="5" spans="1:21" x14ac:dyDescent="0.2">
      <c r="A5">
        <v>2024</v>
      </c>
      <c r="B5">
        <v>1</v>
      </c>
      <c r="C5" s="3">
        <v>1</v>
      </c>
      <c r="D5" s="3">
        <v>2</v>
      </c>
      <c r="E5" s="3">
        <v>1.9743176179432038</v>
      </c>
      <c r="F5" s="3">
        <v>1.8399733578028563</v>
      </c>
      <c r="G5" s="3">
        <v>1.2849999999999999</v>
      </c>
      <c r="H5" s="3">
        <v>1.9576185671039352</v>
      </c>
      <c r="I5" s="3">
        <v>1</v>
      </c>
      <c r="J5" s="3">
        <v>1.5093371242802953</v>
      </c>
      <c r="K5" s="3">
        <v>1.8380563771755867</v>
      </c>
      <c r="L5" s="3">
        <v>1.042760231177325</v>
      </c>
      <c r="M5" s="3">
        <v>1</v>
      </c>
      <c r="N5" s="3">
        <v>1.039823117871457</v>
      </c>
      <c r="O5" s="3">
        <v>2</v>
      </c>
      <c r="P5" s="3">
        <v>2</v>
      </c>
      <c r="Q5" s="3">
        <v>2</v>
      </c>
    </row>
    <row r="6" spans="1:21" x14ac:dyDescent="0.2">
      <c r="A6">
        <v>2023</v>
      </c>
      <c r="B6">
        <v>4</v>
      </c>
      <c r="C6" s="3">
        <v>1.2446434282059482</v>
      </c>
      <c r="D6" s="3">
        <v>1.9011481131868371</v>
      </c>
      <c r="E6" s="3">
        <v>1.9204760642452867</v>
      </c>
      <c r="F6" s="3">
        <v>1.7638907120847365</v>
      </c>
      <c r="G6" s="3">
        <v>1.27</v>
      </c>
      <c r="H6" s="3">
        <v>1.8335015136226043</v>
      </c>
      <c r="I6" s="3">
        <v>1.2351529087311264</v>
      </c>
      <c r="J6" s="3">
        <v>1.5194515514346234</v>
      </c>
      <c r="K6" s="3">
        <v>1.7927633801909029</v>
      </c>
      <c r="L6" s="3">
        <v>1.1760177827141476</v>
      </c>
      <c r="M6" s="3">
        <v>1.1236187095672852</v>
      </c>
      <c r="N6" s="3">
        <v>1.0647148480891659</v>
      </c>
      <c r="O6" s="3">
        <v>1.8909255809453305</v>
      </c>
      <c r="P6" s="3">
        <v>1.9306339329194144</v>
      </c>
      <c r="Q6" s="3">
        <v>1.9480451910215091</v>
      </c>
    </row>
    <row r="7" spans="1:21" x14ac:dyDescent="0.2">
      <c r="A7">
        <v>2023</v>
      </c>
      <c r="B7">
        <v>3</v>
      </c>
      <c r="C7" s="3">
        <v>1.2446434282059482</v>
      </c>
      <c r="D7" s="3">
        <v>1.9011481131868371</v>
      </c>
      <c r="E7" s="3">
        <v>1.9204760642452867</v>
      </c>
      <c r="F7" s="3">
        <v>1.7638907120847365</v>
      </c>
      <c r="G7" s="3">
        <v>1.27</v>
      </c>
      <c r="H7" s="3">
        <v>1.8335015136226043</v>
      </c>
      <c r="I7" s="3">
        <v>1.2351529087311264</v>
      </c>
      <c r="J7" s="3">
        <v>1.5194515514346234</v>
      </c>
      <c r="K7" s="3">
        <v>1.7927633801909029</v>
      </c>
      <c r="L7" s="3">
        <v>1.1760177827141476</v>
      </c>
      <c r="M7" s="3">
        <v>1.1236187095672852</v>
      </c>
      <c r="N7" s="3">
        <v>1.0647148480891659</v>
      </c>
      <c r="O7" s="3">
        <v>1.8909255809453305</v>
      </c>
      <c r="P7" s="3">
        <v>1.9306339329194144</v>
      </c>
      <c r="Q7" s="3">
        <v>1.9480451910215091</v>
      </c>
    </row>
    <row r="8" spans="1:21" x14ac:dyDescent="0.2">
      <c r="A8">
        <v>2023</v>
      </c>
      <c r="B8">
        <v>2</v>
      </c>
      <c r="C8" s="3">
        <v>1.2446434282059482</v>
      </c>
      <c r="D8" s="3">
        <v>1.9011481131868371</v>
      </c>
      <c r="E8" s="3">
        <v>1.9204760642452867</v>
      </c>
      <c r="F8" s="3">
        <v>1.7638907120847365</v>
      </c>
      <c r="G8" s="3">
        <v>1.27</v>
      </c>
      <c r="H8" s="3">
        <v>1.8335015136226043</v>
      </c>
      <c r="I8" s="3">
        <v>1.2351529087311264</v>
      </c>
      <c r="J8" s="3">
        <v>1.5194515514346234</v>
      </c>
      <c r="K8" s="3">
        <v>1.7927633801909029</v>
      </c>
      <c r="L8" s="3">
        <v>1.1760177827141476</v>
      </c>
      <c r="M8" s="3">
        <v>1.1236187095672852</v>
      </c>
      <c r="N8" s="3">
        <v>1.0647148480891659</v>
      </c>
      <c r="O8" s="3">
        <v>1.8909255809453305</v>
      </c>
      <c r="P8" s="3">
        <v>1.9306339329194144</v>
      </c>
      <c r="Q8" s="3">
        <v>1.9480451910215091</v>
      </c>
      <c r="R8" t="s">
        <v>35</v>
      </c>
      <c r="S8">
        <v>2</v>
      </c>
    </row>
    <row r="9" spans="1:21" x14ac:dyDescent="0.2">
      <c r="A9">
        <v>2023</v>
      </c>
      <c r="B9">
        <v>1</v>
      </c>
      <c r="C9" s="3">
        <v>1.2446434282059482</v>
      </c>
      <c r="D9" s="3">
        <v>1.9011481131868371</v>
      </c>
      <c r="E9" s="3">
        <v>1.9204760642452867</v>
      </c>
      <c r="F9" s="3">
        <v>1.7638907120847365</v>
      </c>
      <c r="G9" s="3">
        <v>1.27</v>
      </c>
      <c r="H9" s="3">
        <v>1.8335015136226043</v>
      </c>
      <c r="I9" s="3">
        <v>1.2351529087311264</v>
      </c>
      <c r="J9" s="3">
        <v>1.5194515514346234</v>
      </c>
      <c r="K9" s="3">
        <v>1.7927633801909029</v>
      </c>
      <c r="L9" s="3">
        <v>1.1760177827141476</v>
      </c>
      <c r="M9" s="3">
        <v>1.1236187095672852</v>
      </c>
      <c r="N9" s="3">
        <v>1.0647148480891659</v>
      </c>
      <c r="O9" s="3">
        <v>1.8909255809453305</v>
      </c>
      <c r="P9" s="3">
        <v>1.9306339329194144</v>
      </c>
      <c r="Q9" s="3">
        <v>1.9480451910215091</v>
      </c>
    </row>
    <row r="10" spans="1:21" x14ac:dyDescent="0.2">
      <c r="A10">
        <v>2022</v>
      </c>
      <c r="B10">
        <v>4</v>
      </c>
      <c r="C10" s="3">
        <v>1.2868564118963863</v>
      </c>
      <c r="D10" s="3">
        <v>1.8078941013764185</v>
      </c>
      <c r="E10" s="3">
        <v>1.2315283383498228</v>
      </c>
      <c r="F10" s="3">
        <v>1.0312482837108237</v>
      </c>
      <c r="G10" s="3">
        <v>2</v>
      </c>
      <c r="H10" s="3">
        <v>1.7921291624621591</v>
      </c>
      <c r="I10" s="3">
        <v>1.5074660021891286</v>
      </c>
      <c r="J10" s="3">
        <v>1.4402607045146603</v>
      </c>
      <c r="K10" s="3">
        <v>1.8423669235483295</v>
      </c>
      <c r="L10" s="3">
        <v>1.1707352249925524</v>
      </c>
      <c r="M10" s="3">
        <v>1.4214521745141742</v>
      </c>
      <c r="N10" s="3">
        <v>1.0791988859598243</v>
      </c>
      <c r="O10" s="3">
        <v>1.7647678600249932</v>
      </c>
      <c r="P10" s="3">
        <v>1.8451431237035787</v>
      </c>
      <c r="Q10" s="3">
        <v>1.8704569002070475</v>
      </c>
    </row>
    <row r="11" spans="1:21" x14ac:dyDescent="0.2">
      <c r="A11">
        <v>2022</v>
      </c>
      <c r="B11">
        <v>3</v>
      </c>
      <c r="C11" s="3">
        <v>1.2868564118963863</v>
      </c>
      <c r="D11" s="3">
        <v>1.8078941013764185</v>
      </c>
      <c r="E11" s="3">
        <v>1.2315283383498228</v>
      </c>
      <c r="F11" s="3">
        <v>1.0312482837108237</v>
      </c>
      <c r="G11" s="3">
        <v>2</v>
      </c>
      <c r="H11" s="3">
        <v>1.7921291624621591</v>
      </c>
      <c r="I11" s="3">
        <v>1.5074660021891286</v>
      </c>
      <c r="J11" s="3">
        <v>1.4402607045146603</v>
      </c>
      <c r="K11" s="3">
        <v>1.8423669235483295</v>
      </c>
      <c r="L11" s="3">
        <v>1.1707352249925524</v>
      </c>
      <c r="M11" s="3">
        <v>1.4214521745141742</v>
      </c>
      <c r="N11" s="3">
        <v>1.0791988859598243</v>
      </c>
      <c r="O11" s="3">
        <v>1.7647678600249932</v>
      </c>
      <c r="P11" s="3">
        <v>1.8451431237035787</v>
      </c>
      <c r="Q11" s="3">
        <v>1.8704569002070475</v>
      </c>
      <c r="R11" t="s">
        <v>53</v>
      </c>
      <c r="S11">
        <v>2</v>
      </c>
    </row>
    <row r="12" spans="1:21" x14ac:dyDescent="0.2">
      <c r="A12">
        <v>2022</v>
      </c>
      <c r="B12">
        <v>2</v>
      </c>
      <c r="C12" s="3">
        <v>1.2868564118963863</v>
      </c>
      <c r="D12" s="3">
        <v>1.8078941013764185</v>
      </c>
      <c r="E12" s="3">
        <v>1.2315283383498228</v>
      </c>
      <c r="F12" s="3">
        <v>1.0312482837108237</v>
      </c>
      <c r="G12" s="3">
        <v>2</v>
      </c>
      <c r="H12" s="3">
        <v>1.7921291624621591</v>
      </c>
      <c r="I12" s="3">
        <v>1.5074660021891286</v>
      </c>
      <c r="J12" s="3">
        <v>1.4402607045146603</v>
      </c>
      <c r="K12" s="3">
        <v>1.8423669235483295</v>
      </c>
      <c r="L12" s="3">
        <v>1.1707352249925524</v>
      </c>
      <c r="M12" s="3">
        <v>1.4214521745141742</v>
      </c>
      <c r="N12" s="3">
        <v>1.0791988859598243</v>
      </c>
      <c r="O12" s="3">
        <v>1.7647678600249932</v>
      </c>
      <c r="P12" s="3">
        <v>1.8451431237035787</v>
      </c>
      <c r="Q12" s="3">
        <v>1.8704569002070475</v>
      </c>
      <c r="R12" t="s">
        <v>53</v>
      </c>
      <c r="S12">
        <v>2</v>
      </c>
    </row>
    <row r="13" spans="1:21" x14ac:dyDescent="0.2">
      <c r="A13">
        <v>2022</v>
      </c>
      <c r="B13">
        <v>1</v>
      </c>
      <c r="C13" s="3">
        <v>1.2868564118963863</v>
      </c>
      <c r="D13" s="3">
        <v>1.8078941013764185</v>
      </c>
      <c r="E13" s="3">
        <v>1.2315283383498228</v>
      </c>
      <c r="F13" s="3">
        <v>1.0312482837108237</v>
      </c>
      <c r="G13" s="3">
        <v>2</v>
      </c>
      <c r="H13" s="3">
        <v>1.7921291624621591</v>
      </c>
      <c r="I13" s="3">
        <v>1.5074660021891286</v>
      </c>
      <c r="J13" s="3">
        <v>1.4402607045146603</v>
      </c>
      <c r="K13" s="3">
        <v>1.8423669235483295</v>
      </c>
      <c r="L13" s="3">
        <v>1.1707352249925524</v>
      </c>
      <c r="M13" s="3">
        <v>1.4214521745141742</v>
      </c>
      <c r="N13" s="3">
        <v>1.0791988859598243</v>
      </c>
      <c r="O13" s="3">
        <v>1.7647678600249932</v>
      </c>
      <c r="P13" s="3">
        <v>1.8451431237035787</v>
      </c>
      <c r="Q13" s="3">
        <v>1.8704569002070475</v>
      </c>
    </row>
    <row r="14" spans="1:21" x14ac:dyDescent="0.2">
      <c r="A14">
        <v>2021</v>
      </c>
      <c r="B14">
        <v>4</v>
      </c>
      <c r="C14" s="3">
        <v>1.3869523504956827</v>
      </c>
      <c r="D14" s="3">
        <v>1.7248699317278775</v>
      </c>
      <c r="E14" s="3">
        <v>1.8215687214745919</v>
      </c>
      <c r="F14" s="3">
        <v>1.7304790618652099</v>
      </c>
      <c r="G14" s="3">
        <v>1.9449999999999998</v>
      </c>
      <c r="H14" s="3">
        <v>1.979818365287588</v>
      </c>
      <c r="I14" s="3">
        <v>1.2294304313402336</v>
      </c>
      <c r="J14" s="3">
        <v>1.464183862098829</v>
      </c>
      <c r="K14" s="3">
        <v>1.672479534830837</v>
      </c>
      <c r="L14" s="3">
        <v>1</v>
      </c>
      <c r="M14" s="3">
        <v>1.3658181125479079</v>
      </c>
      <c r="N14" s="3">
        <v>1.3947809496567984</v>
      </c>
      <c r="O14" s="3">
        <v>1.8524534431653441</v>
      </c>
      <c r="P14" s="3">
        <v>1.8175907716142599</v>
      </c>
      <c r="Q14" s="3">
        <v>1.5618122935338055</v>
      </c>
    </row>
    <row r="15" spans="1:21" x14ac:dyDescent="0.2">
      <c r="A15">
        <v>2021</v>
      </c>
      <c r="B15">
        <v>3</v>
      </c>
      <c r="C15" s="3">
        <v>1.3869523504956827</v>
      </c>
      <c r="D15" s="3">
        <v>1.7248699317278775</v>
      </c>
      <c r="E15" s="3">
        <v>1.8215687214745919</v>
      </c>
      <c r="F15" s="3">
        <v>1.7304790618652099</v>
      </c>
      <c r="G15" s="3">
        <v>1.9449999999999998</v>
      </c>
      <c r="H15" s="3">
        <v>1.979818365287588</v>
      </c>
      <c r="I15" s="3">
        <v>1.2294304313402336</v>
      </c>
      <c r="J15" s="3">
        <v>1.464183862098829</v>
      </c>
      <c r="K15" s="3">
        <v>1.672479534830837</v>
      </c>
      <c r="L15" s="3">
        <v>1</v>
      </c>
      <c r="M15" s="3">
        <v>1.3658181125479079</v>
      </c>
      <c r="N15" s="3">
        <v>1.3947809496567984</v>
      </c>
      <c r="O15" s="3">
        <v>1.8524534431653441</v>
      </c>
      <c r="P15" s="3">
        <v>1.8175907716142599</v>
      </c>
      <c r="Q15" s="3">
        <v>1.5618122935338055</v>
      </c>
      <c r="R15" t="s">
        <v>53</v>
      </c>
      <c r="S15">
        <v>3</v>
      </c>
    </row>
    <row r="16" spans="1:21" x14ac:dyDescent="0.2">
      <c r="A16">
        <v>2021</v>
      </c>
      <c r="B16">
        <v>2</v>
      </c>
      <c r="C16" s="3">
        <v>1.3869523504956827</v>
      </c>
      <c r="D16" s="3">
        <v>1.7248699317278775</v>
      </c>
      <c r="E16" s="3">
        <v>1.8215687214745919</v>
      </c>
      <c r="F16" s="3">
        <v>1.7304790618652099</v>
      </c>
      <c r="G16" s="3">
        <v>1.9449999999999998</v>
      </c>
      <c r="H16" s="3">
        <v>1.979818365287588</v>
      </c>
      <c r="I16" s="3">
        <v>1.2294304313402336</v>
      </c>
      <c r="J16" s="3">
        <v>1.464183862098829</v>
      </c>
      <c r="K16" s="3">
        <v>1.672479534830837</v>
      </c>
      <c r="L16" s="3">
        <v>1</v>
      </c>
      <c r="M16" s="3">
        <v>1.3658181125479079</v>
      </c>
      <c r="N16" s="3">
        <v>1.3947809496567984</v>
      </c>
      <c r="O16" s="3">
        <v>1.8524534431653441</v>
      </c>
      <c r="P16" s="3">
        <v>1.8175907716142599</v>
      </c>
      <c r="Q16" s="3">
        <v>1.5618122935338055</v>
      </c>
      <c r="R16" t="s">
        <v>53</v>
      </c>
      <c r="S16">
        <v>2</v>
      </c>
    </row>
    <row r="17" spans="1:21" x14ac:dyDescent="0.2">
      <c r="A17">
        <v>2021</v>
      </c>
      <c r="B17">
        <v>1</v>
      </c>
      <c r="C17" s="3">
        <v>1.3869523504956827</v>
      </c>
      <c r="D17" s="3">
        <v>1.7248699317278775</v>
      </c>
      <c r="E17" s="3">
        <v>1.8215687214745919</v>
      </c>
      <c r="F17" s="3">
        <v>1.7304790618652099</v>
      </c>
      <c r="G17" s="3">
        <v>1.9449999999999998</v>
      </c>
      <c r="H17" s="3">
        <v>1.979818365287588</v>
      </c>
      <c r="I17" s="3">
        <v>1.2294304313402336</v>
      </c>
      <c r="J17" s="3">
        <v>1.464183862098829</v>
      </c>
      <c r="K17" s="3">
        <v>1.672479534830837</v>
      </c>
      <c r="L17" s="3">
        <v>1</v>
      </c>
      <c r="M17" s="3">
        <v>1.3658181125479079</v>
      </c>
      <c r="N17" s="3">
        <v>1.3947809496567984</v>
      </c>
      <c r="O17" s="3">
        <v>1.8524534431653441</v>
      </c>
      <c r="P17" s="3">
        <v>1.8175907716142599</v>
      </c>
      <c r="Q17" s="3">
        <v>1.5618122935338055</v>
      </c>
      <c r="R17" t="s">
        <v>53</v>
      </c>
      <c r="S17">
        <v>2</v>
      </c>
    </row>
    <row r="18" spans="1:21" x14ac:dyDescent="0.2">
      <c r="A18">
        <v>2020</v>
      </c>
      <c r="B18">
        <v>4</v>
      </c>
      <c r="C18" s="3">
        <v>1.3540134314039021</v>
      </c>
      <c r="D18" s="3">
        <v>1.6479265910038858</v>
      </c>
      <c r="E18" s="3">
        <v>1.1585521152466349</v>
      </c>
      <c r="F18" s="3">
        <v>2</v>
      </c>
      <c r="G18" s="3">
        <v>1.98</v>
      </c>
      <c r="H18" s="3">
        <v>1.8113017154389515</v>
      </c>
      <c r="I18" s="3">
        <v>1.3209245648783681</v>
      </c>
      <c r="J18" s="3">
        <v>1.4946390990615732</v>
      </c>
      <c r="K18" s="3">
        <v>1.5150349823573284</v>
      </c>
      <c r="L18" s="3">
        <v>1.9302047399768987</v>
      </c>
      <c r="M18" s="3">
        <v>1.2949934927450499</v>
      </c>
      <c r="N18" s="3">
        <v>1.6872492556477807</v>
      </c>
      <c r="O18" s="3">
        <v>1.3747222364483302</v>
      </c>
      <c r="P18" s="3">
        <v>1.7825154096429605</v>
      </c>
      <c r="Q18" s="3">
        <v>1.2757733336211368</v>
      </c>
      <c r="R18" t="s">
        <v>38</v>
      </c>
      <c r="S18">
        <v>1</v>
      </c>
    </row>
    <row r="19" spans="1:21" x14ac:dyDescent="0.2">
      <c r="A19">
        <v>2020</v>
      </c>
      <c r="B19">
        <v>3</v>
      </c>
      <c r="C19" s="3">
        <v>1.3540134314039021</v>
      </c>
      <c r="D19" s="3">
        <v>1.6479265910038858</v>
      </c>
      <c r="E19" s="3">
        <v>1.1585521152466349</v>
      </c>
      <c r="F19" s="3">
        <v>2</v>
      </c>
      <c r="G19" s="3">
        <v>1.98</v>
      </c>
      <c r="H19" s="3">
        <v>1.8113017154389515</v>
      </c>
      <c r="I19" s="3">
        <v>1.3209245648783681</v>
      </c>
      <c r="J19" s="3">
        <v>1.4946390990615732</v>
      </c>
      <c r="K19" s="3">
        <v>1.5150349823573284</v>
      </c>
      <c r="L19" s="3">
        <v>1.9302047399768987</v>
      </c>
      <c r="M19" s="3">
        <v>1.2949934927450499</v>
      </c>
      <c r="N19" s="3">
        <v>1.6872492556477807</v>
      </c>
      <c r="O19" s="3">
        <v>1.3747222364483302</v>
      </c>
      <c r="P19" s="3">
        <v>1.7825154096429605</v>
      </c>
      <c r="Q19" s="3">
        <v>1.2757733336211368</v>
      </c>
      <c r="R19" t="s">
        <v>35</v>
      </c>
      <c r="S19">
        <v>1</v>
      </c>
    </row>
    <row r="20" spans="1:21" x14ac:dyDescent="0.2">
      <c r="A20">
        <v>2020</v>
      </c>
      <c r="B20">
        <v>2</v>
      </c>
      <c r="C20" s="3">
        <v>1.3540134314039021</v>
      </c>
      <c r="D20" s="3">
        <v>1.6479265910038858</v>
      </c>
      <c r="E20" s="3">
        <v>1.1585521152466349</v>
      </c>
      <c r="F20" s="3">
        <v>2</v>
      </c>
      <c r="G20" s="3">
        <v>1.98</v>
      </c>
      <c r="H20" s="3">
        <v>1.8113017154389515</v>
      </c>
      <c r="I20" s="3">
        <v>1.3209245648783681</v>
      </c>
      <c r="J20" s="3">
        <v>1.4946390990615732</v>
      </c>
      <c r="K20" s="3">
        <v>1.5150349823573284</v>
      </c>
      <c r="L20" s="3">
        <v>1.9302047399768987</v>
      </c>
      <c r="M20" s="3">
        <v>1.2949934927450499</v>
      </c>
      <c r="N20" s="3">
        <v>1.6872492556477807</v>
      </c>
      <c r="O20" s="3">
        <v>1.3747222364483302</v>
      </c>
      <c r="P20" s="3">
        <v>1.7825154096429605</v>
      </c>
      <c r="Q20" s="3">
        <v>1.2757733336211368</v>
      </c>
      <c r="R20" t="s">
        <v>35</v>
      </c>
      <c r="S20">
        <v>2</v>
      </c>
    </row>
    <row r="21" spans="1:21" x14ac:dyDescent="0.2">
      <c r="A21">
        <v>2020</v>
      </c>
      <c r="B21">
        <v>1</v>
      </c>
      <c r="C21" s="3">
        <v>1.3540134314039021</v>
      </c>
      <c r="D21" s="3">
        <v>1.6479265910038858</v>
      </c>
      <c r="E21" s="3">
        <v>1.1585521152466349</v>
      </c>
      <c r="F21" s="3">
        <v>2</v>
      </c>
      <c r="G21" s="3">
        <v>1.98</v>
      </c>
      <c r="H21" s="3">
        <v>1.8113017154389515</v>
      </c>
      <c r="I21" s="3">
        <v>1.3209245648783681</v>
      </c>
      <c r="J21" s="3">
        <v>1.4946390990615732</v>
      </c>
      <c r="K21" s="3">
        <v>1.5150349823573284</v>
      </c>
      <c r="L21" s="3">
        <v>1.9302047399768987</v>
      </c>
      <c r="M21" s="3">
        <v>1.2949934927450499</v>
      </c>
      <c r="N21" s="3">
        <v>1.6872492556477807</v>
      </c>
      <c r="O21" s="3">
        <v>1.3747222364483302</v>
      </c>
      <c r="P21" s="3">
        <v>1.7825154096429605</v>
      </c>
      <c r="Q21" s="3">
        <v>1.2757733336211368</v>
      </c>
    </row>
    <row r="22" spans="1:21" x14ac:dyDescent="0.2">
      <c r="A22">
        <v>2019</v>
      </c>
      <c r="B22">
        <v>4</v>
      </c>
      <c r="C22" s="3">
        <v>1.3409018228333867</v>
      </c>
      <c r="D22" s="3">
        <v>1.5721247777314336</v>
      </c>
      <c r="E22" s="3">
        <v>1.7939883028943866</v>
      </c>
      <c r="F22" s="3">
        <v>1.923786059788251</v>
      </c>
      <c r="G22" s="3">
        <v>1.335</v>
      </c>
      <c r="H22" s="3">
        <v>2</v>
      </c>
      <c r="I22" s="3">
        <v>1.3125204292586135</v>
      </c>
      <c r="J22" s="3">
        <v>1.4530962741978666</v>
      </c>
      <c r="K22" s="3">
        <v>1.492027443478035</v>
      </c>
      <c r="L22" s="3">
        <v>1.9738259965878147</v>
      </c>
      <c r="M22" s="3">
        <v>1.1617147427352703</v>
      </c>
      <c r="N22" s="3">
        <v>1.6519066924045922</v>
      </c>
      <c r="O22" s="3">
        <v>1.4371390884539452</v>
      </c>
      <c r="P22" s="3">
        <v>1.7819335864508012</v>
      </c>
      <c r="Q22" s="3">
        <v>1.4309030772957447</v>
      </c>
    </row>
    <row r="23" spans="1:21" x14ac:dyDescent="0.2">
      <c r="A23">
        <v>2019</v>
      </c>
      <c r="B23">
        <v>3</v>
      </c>
      <c r="C23" s="3">
        <v>1.3409018228333867</v>
      </c>
      <c r="D23" s="3">
        <v>1.5721247777314336</v>
      </c>
      <c r="E23" s="3">
        <v>1.7939883028943866</v>
      </c>
      <c r="F23" s="3">
        <v>1.923786059788251</v>
      </c>
      <c r="G23" s="3">
        <v>1.335</v>
      </c>
      <c r="H23" s="3">
        <v>2</v>
      </c>
      <c r="I23" s="3">
        <v>1.3125204292586135</v>
      </c>
      <c r="J23" s="3">
        <v>1.4530962741978666</v>
      </c>
      <c r="K23" s="3">
        <v>1.492027443478035</v>
      </c>
      <c r="L23" s="3">
        <v>1.9738259965878147</v>
      </c>
      <c r="M23" s="3">
        <v>1.1617147427352703</v>
      </c>
      <c r="N23" s="3">
        <v>1.6519066924045922</v>
      </c>
      <c r="O23" s="3">
        <v>1.4371390884539452</v>
      </c>
      <c r="P23" s="3">
        <v>1.7819335864508012</v>
      </c>
      <c r="Q23" s="3">
        <v>1.4309030772957447</v>
      </c>
      <c r="R23" t="s">
        <v>38</v>
      </c>
      <c r="S23">
        <v>1</v>
      </c>
      <c r="T23" t="s">
        <v>38</v>
      </c>
      <c r="U23">
        <v>1</v>
      </c>
    </row>
    <row r="24" spans="1:21" x14ac:dyDescent="0.2">
      <c r="A24">
        <v>2019</v>
      </c>
      <c r="B24">
        <v>2</v>
      </c>
      <c r="C24" s="3">
        <v>1.3409018228333867</v>
      </c>
      <c r="D24" s="3">
        <v>1.5721247777314336</v>
      </c>
      <c r="E24" s="3">
        <v>1.7939883028943866</v>
      </c>
      <c r="F24" s="3">
        <v>1.923786059788251</v>
      </c>
      <c r="G24" s="3">
        <v>1.335</v>
      </c>
      <c r="H24" s="3">
        <v>2</v>
      </c>
      <c r="I24" s="3">
        <v>1.3125204292586135</v>
      </c>
      <c r="J24" s="3">
        <v>1.4530962741978666</v>
      </c>
      <c r="K24" s="3">
        <v>1.492027443478035</v>
      </c>
      <c r="L24" s="3">
        <v>1.9738259965878147</v>
      </c>
      <c r="M24" s="3">
        <v>1.1617147427352703</v>
      </c>
      <c r="N24" s="3">
        <v>1.6519066924045922</v>
      </c>
      <c r="O24" s="3">
        <v>1.4371390884539452</v>
      </c>
      <c r="P24" s="3">
        <v>1.7819335864508012</v>
      </c>
      <c r="Q24" s="3">
        <v>1.4309030772957447</v>
      </c>
      <c r="R24" t="s">
        <v>38</v>
      </c>
      <c r="S24">
        <v>2</v>
      </c>
    </row>
    <row r="25" spans="1:21" x14ac:dyDescent="0.2">
      <c r="A25">
        <v>2019</v>
      </c>
      <c r="B25">
        <v>1</v>
      </c>
      <c r="C25" s="3">
        <v>1.3409018228333867</v>
      </c>
      <c r="D25" s="3">
        <v>1.5721247777314336</v>
      </c>
      <c r="E25" s="3">
        <v>1.7939883028943866</v>
      </c>
      <c r="F25" s="3">
        <v>1.923786059788251</v>
      </c>
      <c r="G25" s="3">
        <v>1.335</v>
      </c>
      <c r="H25" s="3">
        <v>2</v>
      </c>
      <c r="I25" s="3">
        <v>1.3125204292586135</v>
      </c>
      <c r="J25" s="3">
        <v>1.4530962741978666</v>
      </c>
      <c r="K25" s="3">
        <v>1.492027443478035</v>
      </c>
      <c r="L25" s="3">
        <v>1.9738259965878147</v>
      </c>
      <c r="M25" s="3">
        <v>1.1617147427352703</v>
      </c>
      <c r="N25" s="3">
        <v>1.6519066924045922</v>
      </c>
      <c r="O25" s="3">
        <v>1.4371390884539452</v>
      </c>
      <c r="P25" s="3">
        <v>1.7819335864508012</v>
      </c>
      <c r="Q25" s="3">
        <v>1.4309030772957447</v>
      </c>
    </row>
    <row r="26" spans="1:21" x14ac:dyDescent="0.2">
      <c r="A26">
        <v>2018</v>
      </c>
      <c r="B26">
        <v>4</v>
      </c>
      <c r="C26" s="3">
        <v>1.5174288455388552</v>
      </c>
      <c r="D26" s="3">
        <v>1.4310583276622832</v>
      </c>
      <c r="E26" s="3">
        <v>1.2848295695818621</v>
      </c>
      <c r="F26" s="3">
        <v>1.7076725338200553</v>
      </c>
      <c r="G26" s="3">
        <v>1.2949999999999999</v>
      </c>
      <c r="H26" s="3">
        <v>1.6569122098890019</v>
      </c>
      <c r="I26" s="3">
        <v>1.4256687917489701</v>
      </c>
      <c r="J26" s="3">
        <v>1.644335255400224</v>
      </c>
      <c r="K26" s="3">
        <v>1.4492106335045802</v>
      </c>
      <c r="L26" s="3">
        <v>1.9073730792741941</v>
      </c>
      <c r="M26" s="3">
        <v>1.7752525185464916</v>
      </c>
      <c r="N26" s="3">
        <v>1.5861345199746095</v>
      </c>
      <c r="O26" s="3">
        <v>1.3420528340091873</v>
      </c>
      <c r="P26" s="3">
        <v>1.7846119617147254</v>
      </c>
      <c r="Q26" s="3">
        <v>1.7195980477136517</v>
      </c>
    </row>
    <row r="27" spans="1:21" x14ac:dyDescent="0.2">
      <c r="A27">
        <v>2018</v>
      </c>
      <c r="B27">
        <v>3</v>
      </c>
      <c r="C27" s="3">
        <v>1.5174288455388552</v>
      </c>
      <c r="D27" s="3">
        <v>1.4310583276622832</v>
      </c>
      <c r="E27" s="3">
        <v>1.2848295695818621</v>
      </c>
      <c r="F27" s="3">
        <v>1.7076725338200553</v>
      </c>
      <c r="G27" s="3">
        <v>1.2949999999999999</v>
      </c>
      <c r="H27" s="3">
        <v>1.6569122098890019</v>
      </c>
      <c r="I27" s="3">
        <v>1.4256687917489701</v>
      </c>
      <c r="J27" s="3">
        <v>1.644335255400224</v>
      </c>
      <c r="K27" s="3">
        <v>1.4492106335045802</v>
      </c>
      <c r="L27" s="3">
        <v>1.9073730792741941</v>
      </c>
      <c r="M27" s="3">
        <v>1.7752525185464916</v>
      </c>
      <c r="N27" s="3">
        <v>1.5861345199746095</v>
      </c>
      <c r="O27" s="3">
        <v>1.3420528340091873</v>
      </c>
      <c r="P27" s="3">
        <v>1.7846119617147254</v>
      </c>
      <c r="Q27" s="3">
        <v>1.7195980477136517</v>
      </c>
      <c r="R27" t="s">
        <v>53</v>
      </c>
      <c r="S27">
        <v>2</v>
      </c>
    </row>
    <row r="28" spans="1:21" x14ac:dyDescent="0.2">
      <c r="A28">
        <v>2018</v>
      </c>
      <c r="B28">
        <v>2</v>
      </c>
      <c r="C28" s="3">
        <v>1.5174288455388552</v>
      </c>
      <c r="D28" s="3">
        <v>1.4310583276622832</v>
      </c>
      <c r="E28" s="3">
        <v>1.2848295695818621</v>
      </c>
      <c r="F28" s="3">
        <v>1.7076725338200553</v>
      </c>
      <c r="G28" s="3">
        <v>1.2949999999999999</v>
      </c>
      <c r="H28" s="3">
        <v>1.6569122098890019</v>
      </c>
      <c r="I28" s="3">
        <v>1.4256687917489701</v>
      </c>
      <c r="J28" s="3">
        <v>1.644335255400224</v>
      </c>
      <c r="K28" s="3">
        <v>1.4492106335045802</v>
      </c>
      <c r="L28" s="3">
        <v>1.9073730792741941</v>
      </c>
      <c r="M28" s="3">
        <v>1.7752525185464916</v>
      </c>
      <c r="N28" s="3">
        <v>1.5861345199746095</v>
      </c>
      <c r="O28" s="3">
        <v>1.3420528340091873</v>
      </c>
      <c r="P28" s="3">
        <v>1.7846119617147254</v>
      </c>
      <c r="Q28" s="3">
        <v>1.7195980477136517</v>
      </c>
    </row>
    <row r="29" spans="1:21" x14ac:dyDescent="0.2">
      <c r="A29">
        <v>2018</v>
      </c>
      <c r="B29">
        <v>1</v>
      </c>
      <c r="C29" s="3">
        <v>1.5174288455388552</v>
      </c>
      <c r="D29" s="3">
        <v>1.4310583276622832</v>
      </c>
      <c r="E29" s="3">
        <v>1.2848295695818621</v>
      </c>
      <c r="F29" s="3">
        <v>1.7076725338200553</v>
      </c>
      <c r="G29" s="3">
        <v>1.2949999999999999</v>
      </c>
      <c r="H29" s="3">
        <v>1.6569122098890019</v>
      </c>
      <c r="I29" s="3">
        <v>1.4256687917489701</v>
      </c>
      <c r="J29" s="3">
        <v>1.644335255400224</v>
      </c>
      <c r="K29" s="3">
        <v>1.4492106335045802</v>
      </c>
      <c r="L29" s="3">
        <v>1.9073730792741941</v>
      </c>
      <c r="M29" s="3">
        <v>1.7752525185464916</v>
      </c>
      <c r="N29" s="3">
        <v>1.5861345199746095</v>
      </c>
      <c r="O29" s="3">
        <v>1.3420528340091873</v>
      </c>
      <c r="P29" s="3">
        <v>1.7846119617147254</v>
      </c>
      <c r="Q29" s="3">
        <v>1.7195980477136517</v>
      </c>
      <c r="R29" t="s">
        <v>35</v>
      </c>
      <c r="S29">
        <v>2</v>
      </c>
    </row>
    <row r="30" spans="1:21" x14ac:dyDescent="0.2">
      <c r="A30">
        <v>2017</v>
      </c>
      <c r="B30">
        <v>4</v>
      </c>
      <c r="C30" s="3">
        <v>1.6021746082507189</v>
      </c>
      <c r="D30" s="3">
        <v>1.2879283471999645</v>
      </c>
      <c r="E30" s="3">
        <v>2</v>
      </c>
      <c r="F30" s="3">
        <v>1.6293075904196135</v>
      </c>
      <c r="G30" s="3">
        <v>1.2450000000000001</v>
      </c>
      <c r="H30" s="3">
        <v>1.5872855701311801</v>
      </c>
      <c r="I30" s="3">
        <v>1.5277554630590684</v>
      </c>
      <c r="J30" s="3">
        <v>1.885322856129108</v>
      </c>
      <c r="K30" s="3">
        <v>1.8248928878774362</v>
      </c>
      <c r="L30" s="3">
        <v>1.7811753701286146</v>
      </c>
      <c r="M30" s="3">
        <v>2</v>
      </c>
      <c r="N30" s="3">
        <v>1.1863440533740808</v>
      </c>
      <c r="O30" s="3">
        <v>1.0436365070597891</v>
      </c>
      <c r="P30" s="3">
        <v>1</v>
      </c>
      <c r="Q30" s="3">
        <v>1.8031897631010103</v>
      </c>
    </row>
    <row r="31" spans="1:21" x14ac:dyDescent="0.2">
      <c r="A31">
        <v>2017</v>
      </c>
      <c r="B31">
        <v>3</v>
      </c>
      <c r="C31" s="3">
        <v>1.6021746082507189</v>
      </c>
      <c r="D31" s="3">
        <v>1.2879283471999645</v>
      </c>
      <c r="E31" s="3">
        <v>2</v>
      </c>
      <c r="F31" s="3">
        <v>1.6293075904196135</v>
      </c>
      <c r="G31" s="3">
        <v>1.2450000000000001</v>
      </c>
      <c r="H31" s="3">
        <v>1.5872855701311801</v>
      </c>
      <c r="I31" s="3">
        <v>1.5277554630590684</v>
      </c>
      <c r="J31" s="3">
        <v>1.885322856129108</v>
      </c>
      <c r="K31" s="3">
        <v>1.8248928878774362</v>
      </c>
      <c r="L31" s="3">
        <v>1.7811753701286146</v>
      </c>
      <c r="M31" s="3">
        <v>2</v>
      </c>
      <c r="N31" s="3">
        <v>1.1863440533740808</v>
      </c>
      <c r="O31" s="3">
        <v>1.0436365070597891</v>
      </c>
      <c r="P31" s="3">
        <v>1</v>
      </c>
      <c r="Q31" s="3">
        <v>1.8031897631010103</v>
      </c>
    </row>
    <row r="32" spans="1:21" x14ac:dyDescent="0.2">
      <c r="A32">
        <v>2017</v>
      </c>
      <c r="B32">
        <v>2</v>
      </c>
      <c r="C32" s="3">
        <v>1.6021746082507189</v>
      </c>
      <c r="D32" s="3">
        <v>1.2879283471999645</v>
      </c>
      <c r="E32" s="3">
        <v>2</v>
      </c>
      <c r="F32" s="3">
        <v>1.6293075904196135</v>
      </c>
      <c r="G32" s="3">
        <v>1.2450000000000001</v>
      </c>
      <c r="H32" s="3">
        <v>1.5872855701311801</v>
      </c>
      <c r="I32" s="3">
        <v>1.5277554630590684</v>
      </c>
      <c r="J32" s="3">
        <v>1.885322856129108</v>
      </c>
      <c r="K32" s="3">
        <v>1.8248928878774362</v>
      </c>
      <c r="L32" s="3">
        <v>1.7811753701286146</v>
      </c>
      <c r="M32" s="3">
        <v>2</v>
      </c>
      <c r="N32" s="3">
        <v>1.1863440533740808</v>
      </c>
      <c r="O32" s="3">
        <v>1.0436365070597891</v>
      </c>
      <c r="P32" s="3">
        <v>1</v>
      </c>
      <c r="Q32" s="3">
        <v>1.8031897631010103</v>
      </c>
    </row>
    <row r="33" spans="1:21" x14ac:dyDescent="0.2">
      <c r="A33">
        <v>2017</v>
      </c>
      <c r="B33">
        <v>1</v>
      </c>
      <c r="C33" s="3">
        <v>1.6021746082507189</v>
      </c>
      <c r="D33" s="3">
        <v>1.2879283471999645</v>
      </c>
      <c r="E33" s="3">
        <v>2</v>
      </c>
      <c r="F33" s="3">
        <v>1.6293075904196135</v>
      </c>
      <c r="G33" s="3">
        <v>1.2450000000000001</v>
      </c>
      <c r="H33" s="3">
        <v>1.5872855701311801</v>
      </c>
      <c r="I33" s="3">
        <v>1.5277554630590684</v>
      </c>
      <c r="J33" s="3">
        <v>1.885322856129108</v>
      </c>
      <c r="K33" s="3">
        <v>1.8248928878774362</v>
      </c>
      <c r="L33" s="3">
        <v>1.7811753701286146</v>
      </c>
      <c r="M33" s="3">
        <v>2</v>
      </c>
      <c r="N33" s="3">
        <v>1.1863440533740808</v>
      </c>
      <c r="O33" s="3">
        <v>1.0436365070597891</v>
      </c>
      <c r="P33" s="3">
        <v>1</v>
      </c>
      <c r="Q33" s="3">
        <v>1.8031897631010103</v>
      </c>
    </row>
    <row r="34" spans="1:21" x14ac:dyDescent="0.2">
      <c r="A34">
        <v>2016</v>
      </c>
      <c r="B34">
        <v>4</v>
      </c>
      <c r="C34" s="3">
        <v>1.7892548768787977</v>
      </c>
      <c r="D34" s="3">
        <v>1.2212148486378505</v>
      </c>
      <c r="E34" s="3">
        <v>1.1824236347217933</v>
      </c>
      <c r="F34" s="3">
        <v>1.5468361492718234</v>
      </c>
      <c r="G34" s="3">
        <v>1.2450000000000001</v>
      </c>
      <c r="H34" s="3">
        <v>1.1866801210898084</v>
      </c>
      <c r="I34" s="3">
        <v>1.7531166053851353</v>
      </c>
      <c r="J34" s="3">
        <v>2</v>
      </c>
      <c r="K34" s="3">
        <v>2</v>
      </c>
      <c r="L34" s="3">
        <v>1.7627218649790986</v>
      </c>
      <c r="M34" s="3">
        <v>1.779918984620902</v>
      </c>
      <c r="N34" s="3">
        <v>1</v>
      </c>
      <c r="O34" s="3">
        <v>1</v>
      </c>
      <c r="P34" s="3">
        <v>1.7683209444484174</v>
      </c>
      <c r="Q34" s="3">
        <v>1.8421522206258851</v>
      </c>
      <c r="R34" t="s">
        <v>38</v>
      </c>
      <c r="S34">
        <v>1</v>
      </c>
    </row>
    <row r="35" spans="1:21" x14ac:dyDescent="0.2">
      <c r="A35">
        <v>2016</v>
      </c>
      <c r="B35">
        <v>3</v>
      </c>
      <c r="C35" s="3">
        <v>1.7892548768787977</v>
      </c>
      <c r="D35" s="3">
        <v>1.2212148486378505</v>
      </c>
      <c r="E35" s="3">
        <v>1.1824236347217933</v>
      </c>
      <c r="F35" s="3">
        <v>1.5468361492718234</v>
      </c>
      <c r="G35" s="3">
        <v>1.2450000000000001</v>
      </c>
      <c r="H35" s="3">
        <v>1.1866801210898084</v>
      </c>
      <c r="I35" s="3">
        <v>1.7531166053851353</v>
      </c>
      <c r="J35" s="3">
        <v>2</v>
      </c>
      <c r="K35" s="3">
        <v>2</v>
      </c>
      <c r="L35" s="3">
        <v>1.7627218649790986</v>
      </c>
      <c r="M35" s="3">
        <v>1.779918984620902</v>
      </c>
      <c r="N35" s="3">
        <v>1</v>
      </c>
      <c r="O35" s="3">
        <v>1</v>
      </c>
      <c r="P35" s="3">
        <v>1.7683209444484174</v>
      </c>
      <c r="Q35" s="3">
        <v>1.8421522206258851</v>
      </c>
    </row>
    <row r="36" spans="1:21" x14ac:dyDescent="0.2">
      <c r="A36">
        <v>2016</v>
      </c>
      <c r="B36">
        <v>2</v>
      </c>
      <c r="C36" s="3">
        <v>1.7892548768787977</v>
      </c>
      <c r="D36" s="3">
        <v>1.2212148486378505</v>
      </c>
      <c r="E36" s="3">
        <v>1.1824236347217933</v>
      </c>
      <c r="F36" s="3">
        <v>1.5468361492718234</v>
      </c>
      <c r="G36" s="3">
        <v>1.2450000000000001</v>
      </c>
      <c r="H36" s="3">
        <v>1.1866801210898084</v>
      </c>
      <c r="I36" s="3">
        <v>1.7531166053851353</v>
      </c>
      <c r="J36" s="3">
        <v>2</v>
      </c>
      <c r="K36" s="3">
        <v>2</v>
      </c>
      <c r="L36" s="3">
        <v>1.7627218649790986</v>
      </c>
      <c r="M36" s="3">
        <v>1.779918984620902</v>
      </c>
      <c r="N36" s="3">
        <v>1</v>
      </c>
      <c r="O36" s="3">
        <v>1</v>
      </c>
      <c r="P36" s="3">
        <v>1.7683209444484174</v>
      </c>
      <c r="Q36" s="3">
        <v>1.8421522206258851</v>
      </c>
      <c r="R36" t="s">
        <v>38</v>
      </c>
      <c r="S36">
        <v>2</v>
      </c>
    </row>
    <row r="37" spans="1:21" x14ac:dyDescent="0.2">
      <c r="A37">
        <v>2016</v>
      </c>
      <c r="B37">
        <v>1</v>
      </c>
      <c r="C37" s="3">
        <v>1.7892548768787977</v>
      </c>
      <c r="D37" s="3">
        <v>1.2212148486378505</v>
      </c>
      <c r="E37" s="3">
        <v>1.1824236347217933</v>
      </c>
      <c r="F37" s="3">
        <v>1.5468361492718234</v>
      </c>
      <c r="G37" s="3">
        <v>1.2450000000000001</v>
      </c>
      <c r="H37" s="3">
        <v>1.1866801210898084</v>
      </c>
      <c r="I37" s="3">
        <v>1.7531166053851353</v>
      </c>
      <c r="J37" s="3">
        <v>2</v>
      </c>
      <c r="K37" s="3">
        <v>2</v>
      </c>
      <c r="L37" s="3">
        <v>1.7627218649790986</v>
      </c>
      <c r="M37" s="3">
        <v>1.779918984620902</v>
      </c>
      <c r="N37" s="3">
        <v>1</v>
      </c>
      <c r="O37" s="3">
        <v>1</v>
      </c>
      <c r="P37" s="3">
        <v>1.7683209444484174</v>
      </c>
      <c r="Q37" s="3">
        <v>1.8421522206258851</v>
      </c>
      <c r="R37" t="s">
        <v>38</v>
      </c>
      <c r="S37">
        <v>2</v>
      </c>
    </row>
    <row r="38" spans="1:21" x14ac:dyDescent="0.2">
      <c r="A38">
        <v>2015</v>
      </c>
      <c r="B38">
        <v>4</v>
      </c>
      <c r="C38" s="3">
        <v>1.98081228014071</v>
      </c>
      <c r="D38" s="3">
        <v>1.0775141044497616</v>
      </c>
      <c r="E38" s="3">
        <v>1.7305835724013545</v>
      </c>
      <c r="F38" s="3">
        <v>1.2782738785750984</v>
      </c>
      <c r="G38" s="3">
        <v>1.165</v>
      </c>
      <c r="H38" s="3">
        <v>1.0110998990918263</v>
      </c>
      <c r="I38" s="3">
        <v>1.9775219974553995</v>
      </c>
      <c r="J38" s="3">
        <v>1.3292672965301509</v>
      </c>
      <c r="K38" s="3">
        <v>1.3504019053289666</v>
      </c>
      <c r="L38" s="3">
        <v>1.9129076009431221</v>
      </c>
      <c r="M38" s="3">
        <v>1.8654194068012613</v>
      </c>
      <c r="N38" s="3">
        <v>1.6495980946710329</v>
      </c>
      <c r="O38" s="3">
        <v>1.0479614873672867</v>
      </c>
      <c r="P38" s="3">
        <v>1.6006053406717724</v>
      </c>
      <c r="Q38" s="3">
        <v>1.2950917426843307</v>
      </c>
      <c r="R38" t="s">
        <v>38</v>
      </c>
      <c r="S38">
        <v>2</v>
      </c>
    </row>
    <row r="39" spans="1:21" x14ac:dyDescent="0.2">
      <c r="A39">
        <v>2015</v>
      </c>
      <c r="B39">
        <v>3</v>
      </c>
      <c r="C39" s="3">
        <v>1.98081228014071</v>
      </c>
      <c r="D39" s="3">
        <v>1.0775141044497616</v>
      </c>
      <c r="E39" s="3">
        <v>1.7305835724013545</v>
      </c>
      <c r="F39" s="3">
        <v>1.2782738785750984</v>
      </c>
      <c r="G39" s="3">
        <v>1.165</v>
      </c>
      <c r="H39" s="3">
        <v>1.0110998990918263</v>
      </c>
      <c r="I39" s="3">
        <v>1.9775219974553995</v>
      </c>
      <c r="J39" s="3">
        <v>1.3292672965301509</v>
      </c>
      <c r="K39" s="3">
        <v>1.3504019053289666</v>
      </c>
      <c r="L39" s="3">
        <v>1.9129076009431221</v>
      </c>
      <c r="M39" s="3">
        <v>1.8654194068012613</v>
      </c>
      <c r="N39" s="3">
        <v>1.6495980946710329</v>
      </c>
      <c r="O39" s="3">
        <v>1.0479614873672867</v>
      </c>
      <c r="P39" s="3">
        <v>1.6006053406717724</v>
      </c>
      <c r="Q39" s="3">
        <v>1.2950917426843307</v>
      </c>
    </row>
    <row r="40" spans="1:21" x14ac:dyDescent="0.2">
      <c r="A40">
        <v>2015</v>
      </c>
      <c r="B40">
        <v>2</v>
      </c>
      <c r="C40" s="3">
        <v>1.98081228014071</v>
      </c>
      <c r="D40" s="3">
        <v>1.0775141044497616</v>
      </c>
      <c r="E40" s="3">
        <v>1.7305835724013545</v>
      </c>
      <c r="F40" s="3">
        <v>1.2782738785750984</v>
      </c>
      <c r="G40" s="3">
        <v>1.165</v>
      </c>
      <c r="H40" s="3">
        <v>1.0110998990918263</v>
      </c>
      <c r="I40" s="3">
        <v>1.9775219974553995</v>
      </c>
      <c r="J40" s="3">
        <v>1.3292672965301509</v>
      </c>
      <c r="K40" s="3">
        <v>1.3504019053289666</v>
      </c>
      <c r="L40" s="3">
        <v>1.9129076009431221</v>
      </c>
      <c r="M40" s="3">
        <v>1.8654194068012613</v>
      </c>
      <c r="N40" s="3">
        <v>1.6495980946710329</v>
      </c>
      <c r="O40" s="3">
        <v>1.0479614873672867</v>
      </c>
      <c r="P40" s="3">
        <v>1.6006053406717724</v>
      </c>
      <c r="Q40" s="3">
        <v>1.2950917426843307</v>
      </c>
      <c r="R40" t="s">
        <v>35</v>
      </c>
      <c r="S40">
        <v>2</v>
      </c>
    </row>
    <row r="41" spans="1:21" x14ac:dyDescent="0.2">
      <c r="A41">
        <v>2015</v>
      </c>
      <c r="B41">
        <v>1</v>
      </c>
      <c r="C41" s="3">
        <v>1.98081228014071</v>
      </c>
      <c r="D41" s="3">
        <v>1.0775141044497616</v>
      </c>
      <c r="E41" s="3">
        <v>1.7305835724013545</v>
      </c>
      <c r="F41" s="3">
        <v>1.2782738785750984</v>
      </c>
      <c r="G41" s="3">
        <v>1.165</v>
      </c>
      <c r="H41" s="3">
        <v>1.0110998990918263</v>
      </c>
      <c r="I41" s="3">
        <v>1.9775219974553995</v>
      </c>
      <c r="J41" s="3">
        <v>1.3292672965301509</v>
      </c>
      <c r="K41" s="3">
        <v>1.3504019053289666</v>
      </c>
      <c r="L41" s="3">
        <v>1.9129076009431221</v>
      </c>
      <c r="M41" s="3">
        <v>1.8654194068012613</v>
      </c>
      <c r="N41" s="3">
        <v>1.6495980946710329</v>
      </c>
      <c r="O41" s="3">
        <v>1.0479614873672867</v>
      </c>
      <c r="P41" s="3">
        <v>1.6006053406717724</v>
      </c>
      <c r="Q41" s="3">
        <v>1.2950917426843307</v>
      </c>
    </row>
    <row r="42" spans="1:21" x14ac:dyDescent="0.2">
      <c r="A42">
        <v>2014</v>
      </c>
      <c r="B42">
        <v>4</v>
      </c>
      <c r="C42" s="3">
        <v>2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2</v>
      </c>
      <c r="J42" s="3">
        <v>1</v>
      </c>
      <c r="K42" s="3">
        <v>1</v>
      </c>
      <c r="L42" s="3">
        <v>2</v>
      </c>
      <c r="M42" s="3">
        <v>1.9073921520064294</v>
      </c>
      <c r="N42" s="3">
        <v>2</v>
      </c>
      <c r="O42" s="3">
        <v>1.0757742551400786</v>
      </c>
      <c r="P42" s="3">
        <v>1.5182725974556217</v>
      </c>
      <c r="Q42" s="3">
        <v>1</v>
      </c>
      <c r="R42" t="s">
        <v>35</v>
      </c>
      <c r="S42">
        <v>2</v>
      </c>
      <c r="T42" t="s">
        <v>38</v>
      </c>
      <c r="U42">
        <v>1</v>
      </c>
    </row>
    <row r="43" spans="1:21" x14ac:dyDescent="0.2">
      <c r="A43">
        <v>2014</v>
      </c>
      <c r="B43">
        <v>3</v>
      </c>
      <c r="C43" s="3">
        <v>2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2</v>
      </c>
      <c r="J43" s="3">
        <v>1</v>
      </c>
      <c r="K43" s="3">
        <v>1</v>
      </c>
      <c r="L43" s="3">
        <v>2</v>
      </c>
      <c r="M43" s="3">
        <v>1.9073921520064294</v>
      </c>
      <c r="N43" s="3">
        <v>2</v>
      </c>
      <c r="O43" s="3">
        <v>1.0757742551400786</v>
      </c>
      <c r="P43" s="3">
        <v>1.5182725974556217</v>
      </c>
      <c r="Q43" s="3">
        <v>1</v>
      </c>
    </row>
    <row r="44" spans="1:21" x14ac:dyDescent="0.2">
      <c r="A44">
        <v>2014</v>
      </c>
      <c r="B44">
        <v>2</v>
      </c>
      <c r="C44" s="3">
        <v>2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2</v>
      </c>
      <c r="J44" s="3">
        <v>1</v>
      </c>
      <c r="K44" s="3">
        <v>1</v>
      </c>
      <c r="L44" s="3">
        <v>2</v>
      </c>
      <c r="M44" s="3">
        <v>1.9073921520064294</v>
      </c>
      <c r="N44" s="3">
        <v>2</v>
      </c>
      <c r="O44" s="3">
        <v>1.0757742551400786</v>
      </c>
      <c r="P44" s="3">
        <v>1.5182725974556217</v>
      </c>
      <c r="Q44" s="3">
        <v>1</v>
      </c>
    </row>
    <row r="45" spans="1:21" x14ac:dyDescent="0.2">
      <c r="A45">
        <v>2014</v>
      </c>
      <c r="B45">
        <v>1</v>
      </c>
      <c r="C45" s="3">
        <v>2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2</v>
      </c>
      <c r="J45" s="3">
        <v>1</v>
      </c>
      <c r="K45" s="3">
        <v>1</v>
      </c>
      <c r="L45" s="3">
        <v>2</v>
      </c>
      <c r="M45" s="3">
        <v>1.9073921520064294</v>
      </c>
      <c r="N45" s="3">
        <v>2</v>
      </c>
      <c r="O45" s="3">
        <v>1.0757742551400786</v>
      </c>
      <c r="P45" s="3">
        <v>1.5182725974556217</v>
      </c>
      <c r="Q45" s="3">
        <v>1</v>
      </c>
    </row>
    <row r="46" spans="1:21" x14ac:dyDescent="0.2">
      <c r="A46" t="s">
        <v>91</v>
      </c>
      <c r="C46" t="s">
        <v>92</v>
      </c>
      <c r="D46" t="s">
        <v>92</v>
      </c>
      <c r="E46" s="1" t="s">
        <v>92</v>
      </c>
      <c r="F46" s="3" t="s">
        <v>92</v>
      </c>
      <c r="G46" t="s">
        <v>92</v>
      </c>
      <c r="H46" s="1" t="s">
        <v>92</v>
      </c>
      <c r="I46" s="3" t="s">
        <v>92</v>
      </c>
      <c r="J46" s="3" t="s">
        <v>92</v>
      </c>
      <c r="K46" s="3" t="s">
        <v>92</v>
      </c>
      <c r="L46" s="3" t="s">
        <v>93</v>
      </c>
      <c r="M46" s="3" t="s">
        <v>93</v>
      </c>
      <c r="N46" s="3" t="s">
        <v>93</v>
      </c>
      <c r="O46" s="3" t="s">
        <v>93</v>
      </c>
      <c r="P46" s="3" t="s">
        <v>93</v>
      </c>
      <c r="Q46" s="3" t="s">
        <v>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94C6-81B3-F34D-9D29-06A5C2B9EEBD}">
  <dimension ref="A1:L46"/>
  <sheetViews>
    <sheetView zoomScale="90" zoomScaleNormal="90" workbookViewId="0">
      <selection activeCell="A30" sqref="A30:XFD33"/>
    </sheetView>
  </sheetViews>
  <sheetFormatPr baseColWidth="10" defaultRowHeight="16" x14ac:dyDescent="0.2"/>
  <cols>
    <col min="6" max="6" width="25.33203125" customWidth="1"/>
    <col min="7" max="7" width="24.33203125" customWidth="1"/>
  </cols>
  <sheetData>
    <row r="1" spans="1:12" x14ac:dyDescent="0.2">
      <c r="A1" t="s">
        <v>0</v>
      </c>
      <c r="B1" t="s">
        <v>1</v>
      </c>
      <c r="C1" t="s">
        <v>82</v>
      </c>
      <c r="D1" t="s">
        <v>83</v>
      </c>
      <c r="E1" t="s">
        <v>84</v>
      </c>
      <c r="F1" t="s">
        <v>147</v>
      </c>
      <c r="G1" t="s">
        <v>146</v>
      </c>
      <c r="H1" t="s">
        <v>87</v>
      </c>
      <c r="I1" t="s">
        <v>31</v>
      </c>
      <c r="J1" t="s">
        <v>33</v>
      </c>
      <c r="K1" t="s">
        <v>95</v>
      </c>
      <c r="L1" t="s">
        <v>96</v>
      </c>
    </row>
    <row r="2" spans="1:12" x14ac:dyDescent="0.2">
      <c r="A2">
        <v>2024</v>
      </c>
      <c r="B2">
        <v>4</v>
      </c>
      <c r="C2" s="3">
        <v>1.9529675251959686</v>
      </c>
      <c r="D2" s="3">
        <v>1.7723530270552648</v>
      </c>
      <c r="E2" s="3">
        <v>1.626408292023434</v>
      </c>
      <c r="F2" s="3">
        <v>2</v>
      </c>
      <c r="G2" s="3">
        <v>1.3333333333333333</v>
      </c>
      <c r="H2" s="3">
        <v>2</v>
      </c>
    </row>
    <row r="3" spans="1:12" x14ac:dyDescent="0.2">
      <c r="A3">
        <v>2024</v>
      </c>
      <c r="B3">
        <v>3</v>
      </c>
      <c r="C3" s="3">
        <v>1.9660321015304225</v>
      </c>
      <c r="D3" s="3">
        <v>1.7318088379166356</v>
      </c>
      <c r="E3" s="3">
        <v>1.6128886885984677</v>
      </c>
      <c r="F3" s="3">
        <v>2</v>
      </c>
      <c r="G3" s="3">
        <v>1</v>
      </c>
      <c r="H3" s="3">
        <v>1</v>
      </c>
      <c r="I3" t="s">
        <v>38</v>
      </c>
      <c r="J3">
        <v>2</v>
      </c>
    </row>
    <row r="4" spans="1:12" x14ac:dyDescent="0.2">
      <c r="A4">
        <v>2024</v>
      </c>
      <c r="B4">
        <v>2</v>
      </c>
      <c r="C4" s="3">
        <v>1.9425158641284059</v>
      </c>
      <c r="D4" s="3">
        <v>1.6241934781111689</v>
      </c>
      <c r="E4" s="3">
        <v>1.6169445696259577</v>
      </c>
      <c r="F4" s="3">
        <v>2</v>
      </c>
      <c r="G4" s="3">
        <v>1</v>
      </c>
      <c r="H4" s="3">
        <v>2</v>
      </c>
      <c r="I4" t="s">
        <v>38</v>
      </c>
      <c r="J4">
        <v>2</v>
      </c>
    </row>
    <row r="5" spans="1:12" x14ac:dyDescent="0.2">
      <c r="A5">
        <v>2024</v>
      </c>
      <c r="B5">
        <v>1</v>
      </c>
      <c r="C5" s="3">
        <v>1.9891750653228821</v>
      </c>
      <c r="D5" s="3">
        <v>1.6982226335395372</v>
      </c>
      <c r="E5" s="3">
        <v>1.5543037404236142</v>
      </c>
      <c r="F5" s="3">
        <v>1.625</v>
      </c>
      <c r="G5" s="3">
        <v>1.5</v>
      </c>
      <c r="H5" s="3">
        <v>2</v>
      </c>
    </row>
    <row r="6" spans="1:12" x14ac:dyDescent="0.2">
      <c r="A6">
        <v>2023</v>
      </c>
      <c r="B6">
        <v>4</v>
      </c>
      <c r="C6" s="3">
        <v>1.9372900335946246</v>
      </c>
      <c r="D6" s="3">
        <v>1.7626917656844507</v>
      </c>
      <c r="E6" s="3">
        <v>1.6259576385759351</v>
      </c>
      <c r="F6" s="3">
        <v>1.75</v>
      </c>
      <c r="G6" s="3">
        <v>1.8333333333333335</v>
      </c>
      <c r="H6" s="3">
        <v>2</v>
      </c>
    </row>
    <row r="7" spans="1:12" x14ac:dyDescent="0.2">
      <c r="A7">
        <v>2023</v>
      </c>
      <c r="B7">
        <v>3</v>
      </c>
      <c r="C7" s="3">
        <v>1.8622620380739079</v>
      </c>
      <c r="D7" s="3">
        <v>1.8231954602410176</v>
      </c>
      <c r="E7" s="3">
        <v>1.5908066696710228</v>
      </c>
      <c r="F7" s="3">
        <v>2</v>
      </c>
      <c r="G7" s="3">
        <v>1.6666666666666665</v>
      </c>
      <c r="H7" s="3">
        <v>2</v>
      </c>
    </row>
    <row r="8" spans="1:12" x14ac:dyDescent="0.2">
      <c r="A8">
        <v>2023</v>
      </c>
      <c r="B8">
        <v>2</v>
      </c>
      <c r="C8" s="3">
        <v>1.9171332586786121</v>
      </c>
      <c r="D8" s="3">
        <v>1.9082798876894713</v>
      </c>
      <c r="E8" s="3">
        <v>1.5768364127985579</v>
      </c>
      <c r="F8" s="3">
        <v>2</v>
      </c>
      <c r="G8" s="3">
        <v>1.3333333333333333</v>
      </c>
      <c r="H8" s="3">
        <v>2</v>
      </c>
      <c r="I8" t="s">
        <v>35</v>
      </c>
      <c r="J8">
        <v>2</v>
      </c>
    </row>
    <row r="9" spans="1:12" x14ac:dyDescent="0.2">
      <c r="A9">
        <v>2023</v>
      </c>
      <c r="B9">
        <v>1</v>
      </c>
      <c r="C9" s="3">
        <v>1.8223217618514365</v>
      </c>
      <c r="D9" s="3">
        <v>1.6814611126433863</v>
      </c>
      <c r="E9" s="3">
        <v>1.5723298783235691</v>
      </c>
      <c r="F9" s="3">
        <v>1.75</v>
      </c>
      <c r="G9" s="3">
        <v>1.8333333333333335</v>
      </c>
      <c r="H9" s="3">
        <v>2</v>
      </c>
    </row>
    <row r="10" spans="1:12" x14ac:dyDescent="0.2">
      <c r="A10">
        <v>2022</v>
      </c>
      <c r="B10">
        <v>4</v>
      </c>
      <c r="C10" s="3">
        <v>1.704367301231803</v>
      </c>
      <c r="D10" s="3">
        <v>1.3264722750007634</v>
      </c>
      <c r="E10" s="3">
        <v>1.6151419558359621</v>
      </c>
      <c r="F10" s="3">
        <v>1.75</v>
      </c>
      <c r="G10" s="3">
        <v>1.5</v>
      </c>
      <c r="H10" s="3">
        <v>2</v>
      </c>
    </row>
    <row r="11" spans="1:12" x14ac:dyDescent="0.2">
      <c r="A11">
        <v>2022</v>
      </c>
      <c r="B11">
        <v>3</v>
      </c>
      <c r="C11" s="3">
        <v>1.7958193355729746</v>
      </c>
      <c r="D11" s="3">
        <v>1.189196395690175</v>
      </c>
      <c r="E11" s="3">
        <v>2</v>
      </c>
      <c r="F11" s="3">
        <v>2</v>
      </c>
      <c r="G11" s="3">
        <v>1.3333333333333333</v>
      </c>
      <c r="H11" s="3">
        <v>2</v>
      </c>
      <c r="I11" t="s">
        <v>53</v>
      </c>
      <c r="J11">
        <v>2</v>
      </c>
    </row>
    <row r="12" spans="1:12" x14ac:dyDescent="0.2">
      <c r="A12">
        <v>2022</v>
      </c>
      <c r="B12">
        <v>2</v>
      </c>
      <c r="C12" s="3">
        <v>1.9723777528928701</v>
      </c>
      <c r="D12" s="3">
        <v>1</v>
      </c>
      <c r="E12" s="3">
        <v>1.6809373591707977</v>
      </c>
      <c r="F12" s="3">
        <v>2</v>
      </c>
      <c r="G12" s="3">
        <v>1</v>
      </c>
      <c r="H12" s="3">
        <v>2</v>
      </c>
      <c r="I12" t="s">
        <v>53</v>
      </c>
      <c r="J12">
        <v>2</v>
      </c>
    </row>
    <row r="13" spans="1:12" x14ac:dyDescent="0.2">
      <c r="A13">
        <v>2022</v>
      </c>
      <c r="B13">
        <v>1</v>
      </c>
      <c r="C13" s="3">
        <v>1.8320268756998881</v>
      </c>
      <c r="D13" s="3">
        <v>1.1608625551833827</v>
      </c>
      <c r="E13" s="3">
        <v>1.5768364127985579</v>
      </c>
      <c r="F13" s="3">
        <v>1.75</v>
      </c>
      <c r="G13" s="3">
        <v>1.3333333333333333</v>
      </c>
      <c r="H13" s="3">
        <v>2</v>
      </c>
    </row>
    <row r="14" spans="1:12" x14ac:dyDescent="0.2">
      <c r="A14">
        <v>2021</v>
      </c>
      <c r="B14">
        <v>4</v>
      </c>
      <c r="C14" s="3">
        <v>1.7633445315416205</v>
      </c>
      <c r="D14" s="3">
        <v>1.2897448429884149</v>
      </c>
      <c r="E14" s="3">
        <v>1.61198738170347</v>
      </c>
      <c r="F14" s="3">
        <v>2</v>
      </c>
      <c r="G14" s="3">
        <v>1.5</v>
      </c>
      <c r="H14" s="3">
        <v>2</v>
      </c>
    </row>
    <row r="15" spans="1:12" x14ac:dyDescent="0.2">
      <c r="A15">
        <v>2021</v>
      </c>
      <c r="B15">
        <v>3</v>
      </c>
      <c r="C15" s="3">
        <v>1.6972751026502428</v>
      </c>
      <c r="D15" s="3">
        <v>1.3987058936231629</v>
      </c>
      <c r="E15" s="3">
        <v>1</v>
      </c>
      <c r="F15" s="3">
        <v>1.875</v>
      </c>
      <c r="G15" s="3">
        <v>1</v>
      </c>
      <c r="H15" s="3">
        <v>2</v>
      </c>
      <c r="I15" t="s">
        <v>53</v>
      </c>
      <c r="J15">
        <v>3</v>
      </c>
    </row>
    <row r="16" spans="1:12" x14ac:dyDescent="0.2">
      <c r="A16">
        <v>2021</v>
      </c>
      <c r="B16">
        <v>2</v>
      </c>
      <c r="C16" s="3">
        <v>1.5349010824934677</v>
      </c>
      <c r="D16" s="3">
        <v>1.3615334284115641</v>
      </c>
      <c r="E16" s="3">
        <v>1.5642181162685893</v>
      </c>
      <c r="F16" s="3">
        <v>2</v>
      </c>
      <c r="G16" s="3">
        <v>1.5</v>
      </c>
      <c r="H16" s="3">
        <v>2</v>
      </c>
      <c r="I16" t="s">
        <v>53</v>
      </c>
      <c r="J16">
        <v>2</v>
      </c>
    </row>
    <row r="17" spans="1:12" x14ac:dyDescent="0.2">
      <c r="A17">
        <v>2021</v>
      </c>
      <c r="B17">
        <v>1</v>
      </c>
      <c r="C17" s="3">
        <v>1.7327360955580438</v>
      </c>
      <c r="D17" s="3">
        <v>1.7867508322239181</v>
      </c>
      <c r="E17" s="3">
        <v>1.6002703920684993</v>
      </c>
      <c r="F17" s="3">
        <v>1.5</v>
      </c>
      <c r="G17" s="3">
        <v>1.6666666666666665</v>
      </c>
      <c r="H17" s="3">
        <v>2</v>
      </c>
      <c r="I17" t="s">
        <v>53</v>
      </c>
      <c r="J17">
        <v>2</v>
      </c>
    </row>
    <row r="18" spans="1:12" x14ac:dyDescent="0.2">
      <c r="A18">
        <v>2020</v>
      </c>
      <c r="B18">
        <v>4</v>
      </c>
      <c r="C18" s="3">
        <v>1.7820082120194098</v>
      </c>
      <c r="D18" s="3">
        <v>1.9259048676279873</v>
      </c>
      <c r="E18" s="3">
        <v>1.5705272645335735</v>
      </c>
      <c r="F18" s="3">
        <v>2</v>
      </c>
      <c r="G18" s="3">
        <v>1.5</v>
      </c>
      <c r="H18" s="3">
        <v>2</v>
      </c>
      <c r="I18" t="s">
        <v>38</v>
      </c>
      <c r="J18">
        <v>1</v>
      </c>
    </row>
    <row r="19" spans="1:12" x14ac:dyDescent="0.2">
      <c r="A19">
        <v>2020</v>
      </c>
      <c r="B19">
        <v>3</v>
      </c>
      <c r="C19" s="3">
        <v>1.1567749160134384</v>
      </c>
      <c r="D19" s="3">
        <v>1.9095250965134389</v>
      </c>
      <c r="E19" s="3">
        <v>1.4885083370887786</v>
      </c>
      <c r="F19" s="3">
        <v>2</v>
      </c>
      <c r="G19" s="3">
        <v>1.6666666666666665</v>
      </c>
      <c r="H19" s="3">
        <v>2</v>
      </c>
      <c r="I19" t="s">
        <v>35</v>
      </c>
      <c r="J19">
        <v>1</v>
      </c>
    </row>
    <row r="20" spans="1:12" x14ac:dyDescent="0.2">
      <c r="A20">
        <v>2020</v>
      </c>
      <c r="B20">
        <v>2</v>
      </c>
      <c r="C20" s="3">
        <v>1</v>
      </c>
      <c r="D20" s="3">
        <v>2</v>
      </c>
      <c r="E20" s="3">
        <v>1.3898152320865256</v>
      </c>
      <c r="F20" s="3">
        <v>1.875</v>
      </c>
      <c r="G20" s="3">
        <v>1.5</v>
      </c>
      <c r="H20" s="3">
        <v>2</v>
      </c>
      <c r="I20" t="s">
        <v>35</v>
      </c>
      <c r="J20">
        <v>2</v>
      </c>
    </row>
    <row r="21" spans="1:12" x14ac:dyDescent="0.2">
      <c r="A21">
        <v>2020</v>
      </c>
      <c r="B21">
        <v>1</v>
      </c>
      <c r="C21" s="3">
        <v>1.1765584173198955</v>
      </c>
      <c r="D21" s="3">
        <v>1.6952171478038318</v>
      </c>
      <c r="E21" s="3">
        <v>1.4966200991437584</v>
      </c>
      <c r="F21" s="3">
        <v>2</v>
      </c>
      <c r="G21" s="3">
        <v>1.1666666666666667</v>
      </c>
      <c r="H21" s="3">
        <v>2</v>
      </c>
    </row>
    <row r="22" spans="1:12" x14ac:dyDescent="0.2">
      <c r="A22">
        <v>2019</v>
      </c>
      <c r="B22">
        <v>4</v>
      </c>
      <c r="C22" s="3">
        <v>1.6043299738708479</v>
      </c>
      <c r="D22" s="3">
        <v>1.763003227781812</v>
      </c>
      <c r="E22" s="3">
        <v>1.6845425867507886</v>
      </c>
      <c r="F22" s="3">
        <v>2</v>
      </c>
      <c r="G22" s="3">
        <v>1.6666666666666665</v>
      </c>
      <c r="H22" s="3">
        <v>2</v>
      </c>
    </row>
    <row r="23" spans="1:12" x14ac:dyDescent="0.2">
      <c r="A23">
        <v>2019</v>
      </c>
      <c r="B23">
        <v>3</v>
      </c>
      <c r="C23" s="3">
        <v>1.9664053751399779</v>
      </c>
      <c r="D23" s="3">
        <v>1.721874162557681</v>
      </c>
      <c r="E23" s="3">
        <v>1.6642631816133391</v>
      </c>
      <c r="F23" s="3">
        <v>2</v>
      </c>
      <c r="G23" s="3">
        <v>1.3333333333333333</v>
      </c>
      <c r="H23" s="3">
        <v>2</v>
      </c>
      <c r="I23" t="s">
        <v>38</v>
      </c>
      <c r="J23">
        <v>1</v>
      </c>
      <c r="K23" t="s">
        <v>38</v>
      </c>
      <c r="L23">
        <v>1</v>
      </c>
    </row>
    <row r="24" spans="1:12" x14ac:dyDescent="0.2">
      <c r="A24">
        <v>2019</v>
      </c>
      <c r="B24">
        <v>2</v>
      </c>
      <c r="C24" s="3">
        <v>1.8432250839865616</v>
      </c>
      <c r="D24" s="3">
        <v>1.6584465640060344</v>
      </c>
      <c r="E24" s="3">
        <v>1.6381252816584047</v>
      </c>
      <c r="F24" s="3">
        <v>2</v>
      </c>
      <c r="G24" s="3">
        <v>1.3333333333333333</v>
      </c>
      <c r="H24" s="3">
        <v>2</v>
      </c>
      <c r="I24" t="s">
        <v>38</v>
      </c>
      <c r="J24">
        <v>2</v>
      </c>
    </row>
    <row r="25" spans="1:12" x14ac:dyDescent="0.2">
      <c r="A25">
        <v>2019</v>
      </c>
      <c r="B25">
        <v>1</v>
      </c>
      <c r="C25" s="3">
        <v>1.6491228070175434</v>
      </c>
      <c r="D25" s="3">
        <v>1.6862565189570737</v>
      </c>
      <c r="E25" s="3">
        <v>1.6237043713384407</v>
      </c>
      <c r="F25" s="3">
        <v>2</v>
      </c>
      <c r="G25" s="3">
        <v>1.1666666666666667</v>
      </c>
      <c r="H25" s="3">
        <v>1.5</v>
      </c>
    </row>
    <row r="26" spans="1:12" x14ac:dyDescent="0.2">
      <c r="A26">
        <v>2018</v>
      </c>
      <c r="B26">
        <v>4</v>
      </c>
      <c r="C26" s="3">
        <v>1.649122807017545</v>
      </c>
      <c r="D26" s="3">
        <v>1.4937118561591689</v>
      </c>
      <c r="E26" s="3">
        <v>1.67192429022082</v>
      </c>
      <c r="F26" s="3">
        <v>1.75</v>
      </c>
      <c r="G26" s="3">
        <v>1</v>
      </c>
      <c r="H26" s="3">
        <v>2</v>
      </c>
    </row>
    <row r="27" spans="1:12" x14ac:dyDescent="0.2">
      <c r="A27">
        <v>2018</v>
      </c>
      <c r="B27">
        <v>3</v>
      </c>
      <c r="C27" s="3">
        <v>1.6640537513997762</v>
      </c>
      <c r="D27" s="3">
        <v>1.4147101642565771</v>
      </c>
      <c r="E27" s="3">
        <v>1.6394772420009014</v>
      </c>
      <c r="F27" s="3">
        <v>1.875</v>
      </c>
      <c r="G27" s="3">
        <v>1</v>
      </c>
      <c r="H27" s="3">
        <v>2</v>
      </c>
      <c r="I27" t="s">
        <v>53</v>
      </c>
      <c r="J27">
        <v>2</v>
      </c>
    </row>
    <row r="28" spans="1:12" x14ac:dyDescent="0.2">
      <c r="A28">
        <v>2018</v>
      </c>
      <c r="B28">
        <v>2</v>
      </c>
      <c r="C28" s="3">
        <v>1.9253452780888387</v>
      </c>
      <c r="D28" s="3">
        <v>1.5049618398184681</v>
      </c>
      <c r="E28" s="3">
        <v>1.6331680937359172</v>
      </c>
      <c r="F28" s="3">
        <v>2</v>
      </c>
      <c r="G28" s="3">
        <v>1.5</v>
      </c>
      <c r="H28" s="3">
        <v>2</v>
      </c>
    </row>
    <row r="29" spans="1:12" x14ac:dyDescent="0.2">
      <c r="A29">
        <v>2018</v>
      </c>
      <c r="B29">
        <v>1</v>
      </c>
      <c r="C29" s="3">
        <v>1.7685703620754019</v>
      </c>
      <c r="D29" s="3">
        <v>1.570918723049147</v>
      </c>
      <c r="E29" s="3">
        <v>1.6250563316809372</v>
      </c>
      <c r="F29" s="3">
        <v>1.75</v>
      </c>
      <c r="G29" s="3">
        <v>1.3333333333333333</v>
      </c>
      <c r="H29" s="3">
        <v>2</v>
      </c>
      <c r="I29" t="s">
        <v>35</v>
      </c>
      <c r="J29">
        <v>2</v>
      </c>
    </row>
    <row r="30" spans="1:12" x14ac:dyDescent="0.2">
      <c r="A30">
        <v>2017</v>
      </c>
      <c r="B30">
        <v>4</v>
      </c>
      <c r="C30" s="3">
        <v>1.4811496827174331</v>
      </c>
      <c r="D30" s="3">
        <v>1.548586283429654</v>
      </c>
      <c r="E30" s="3">
        <v>1.5570076611086074</v>
      </c>
      <c r="F30" s="3">
        <v>1.875</v>
      </c>
      <c r="G30" s="3">
        <v>1.1666666666666667</v>
      </c>
      <c r="H30" s="3">
        <v>2</v>
      </c>
    </row>
    <row r="31" spans="1:12" x14ac:dyDescent="0.2">
      <c r="A31">
        <v>2017</v>
      </c>
      <c r="B31">
        <v>3</v>
      </c>
      <c r="C31" s="3">
        <v>1.5707353490108258</v>
      </c>
      <c r="D31" s="3">
        <v>1.594101368175181</v>
      </c>
      <c r="E31" s="3">
        <v>1.7142857142857144</v>
      </c>
      <c r="F31" s="3">
        <v>2</v>
      </c>
      <c r="G31" s="3">
        <v>1</v>
      </c>
      <c r="H31" s="3">
        <v>2</v>
      </c>
    </row>
    <row r="32" spans="1:12" x14ac:dyDescent="0.2">
      <c r="A32">
        <v>2017</v>
      </c>
      <c r="B32">
        <v>2</v>
      </c>
      <c r="C32" s="3">
        <v>1.4587532661440845</v>
      </c>
      <c r="D32" s="3">
        <v>1.4996189792290147</v>
      </c>
      <c r="E32" s="3">
        <v>1.6566020730058586</v>
      </c>
      <c r="F32" s="3">
        <v>1.875</v>
      </c>
      <c r="G32" s="3">
        <v>1.3333333333333333</v>
      </c>
      <c r="H32" s="3">
        <v>2</v>
      </c>
    </row>
    <row r="33" spans="1:12" x14ac:dyDescent="0.2">
      <c r="A33">
        <v>2017</v>
      </c>
      <c r="B33">
        <v>1</v>
      </c>
      <c r="C33" s="3">
        <v>1.7499066815976112</v>
      </c>
      <c r="D33" s="3">
        <v>1.3828506589427831</v>
      </c>
      <c r="E33" s="3">
        <v>1.6286615592609284</v>
      </c>
      <c r="F33" s="3">
        <v>1.75</v>
      </c>
      <c r="G33" s="3">
        <v>1.5</v>
      </c>
      <c r="H33" s="3">
        <v>2</v>
      </c>
    </row>
    <row r="34" spans="1:12" x14ac:dyDescent="0.2">
      <c r="A34">
        <v>2016</v>
      </c>
      <c r="B34">
        <v>4</v>
      </c>
      <c r="C34" s="3">
        <v>1.9701381112355358</v>
      </c>
      <c r="D34" s="3">
        <v>1.7422136675240945</v>
      </c>
      <c r="E34" s="3">
        <v>1.7363677332131591</v>
      </c>
      <c r="F34" s="3">
        <v>2</v>
      </c>
      <c r="G34" s="3">
        <v>2</v>
      </c>
      <c r="H34" s="3">
        <v>2</v>
      </c>
      <c r="I34" t="s">
        <v>38</v>
      </c>
      <c r="J34">
        <v>1</v>
      </c>
    </row>
    <row r="35" spans="1:12" x14ac:dyDescent="0.2">
      <c r="A35">
        <v>2016</v>
      </c>
      <c r="B35">
        <v>3</v>
      </c>
      <c r="C35" s="3">
        <v>1.985069055617767</v>
      </c>
      <c r="D35" s="3">
        <v>1.8112708492289875</v>
      </c>
      <c r="E35" s="3">
        <v>1.6976115367282558</v>
      </c>
      <c r="F35" s="3">
        <v>1.625</v>
      </c>
      <c r="G35" s="3">
        <v>1.3333333333333333</v>
      </c>
      <c r="H35" s="3">
        <v>1</v>
      </c>
    </row>
    <row r="36" spans="1:12" x14ac:dyDescent="0.2">
      <c r="A36">
        <v>2016</v>
      </c>
      <c r="B36">
        <v>2</v>
      </c>
      <c r="C36" s="3">
        <v>2</v>
      </c>
      <c r="D36" s="3">
        <v>1.8780076516680211</v>
      </c>
      <c r="E36" s="3">
        <v>1.6593059936908516</v>
      </c>
      <c r="F36" s="3">
        <v>2</v>
      </c>
      <c r="G36" s="3">
        <v>1.8333333333333335</v>
      </c>
      <c r="H36" s="3">
        <v>2</v>
      </c>
      <c r="I36" t="s">
        <v>38</v>
      </c>
      <c r="J36">
        <v>2</v>
      </c>
    </row>
    <row r="37" spans="1:12" x14ac:dyDescent="0.2">
      <c r="A37">
        <v>2016</v>
      </c>
      <c r="B37">
        <v>1</v>
      </c>
      <c r="C37" s="3">
        <v>1.8618887644643523</v>
      </c>
      <c r="D37" s="3">
        <v>1.943776095491712</v>
      </c>
      <c r="E37" s="3">
        <v>1.6237043713384407</v>
      </c>
      <c r="F37" s="3">
        <v>1.375</v>
      </c>
      <c r="G37" s="3">
        <v>2</v>
      </c>
      <c r="H37" s="3">
        <v>2</v>
      </c>
      <c r="I37" t="s">
        <v>38</v>
      </c>
      <c r="J37">
        <v>2</v>
      </c>
    </row>
    <row r="38" spans="1:12" x14ac:dyDescent="0.2">
      <c r="A38">
        <v>2015</v>
      </c>
      <c r="B38">
        <v>4</v>
      </c>
      <c r="C38" s="3">
        <v>1.7685703620754019</v>
      </c>
      <c r="D38" s="3">
        <v>1.9621456842833198</v>
      </c>
      <c r="E38" s="3">
        <v>1.8608317393131535</v>
      </c>
      <c r="F38" s="3">
        <v>2</v>
      </c>
      <c r="G38" s="3">
        <v>2</v>
      </c>
      <c r="H38" s="3">
        <v>2</v>
      </c>
      <c r="I38" t="s">
        <v>38</v>
      </c>
      <c r="J38">
        <v>2</v>
      </c>
    </row>
    <row r="39" spans="1:12" x14ac:dyDescent="0.2">
      <c r="A39">
        <v>2015</v>
      </c>
      <c r="B39">
        <v>3</v>
      </c>
      <c r="C39" s="3">
        <v>1.7797685703620754</v>
      </c>
      <c r="D39" s="3">
        <v>1.9606686019696506</v>
      </c>
      <c r="E39" s="3">
        <v>1.7268280098463367</v>
      </c>
      <c r="F39" s="3">
        <v>2</v>
      </c>
      <c r="G39" s="3">
        <v>2</v>
      </c>
      <c r="H39" s="3">
        <v>2</v>
      </c>
    </row>
    <row r="40" spans="1:12" x14ac:dyDescent="0.2">
      <c r="A40">
        <v>2015</v>
      </c>
      <c r="B40">
        <v>2</v>
      </c>
      <c r="C40" s="3">
        <v>1.7835013064576333</v>
      </c>
      <c r="D40" s="3">
        <v>1.9376114304997256</v>
      </c>
      <c r="E40" s="3">
        <v>1.6693298779605783</v>
      </c>
      <c r="F40" s="3">
        <v>2</v>
      </c>
      <c r="G40" s="3">
        <v>1.6666666666666665</v>
      </c>
      <c r="H40" s="3">
        <v>2</v>
      </c>
      <c r="I40" t="s">
        <v>35</v>
      </c>
      <c r="J40">
        <v>2</v>
      </c>
    </row>
    <row r="41" spans="1:12" x14ac:dyDescent="0.2">
      <c r="A41">
        <v>2015</v>
      </c>
      <c r="B41">
        <v>1</v>
      </c>
      <c r="C41" s="3">
        <v>1.8245614035087725</v>
      </c>
      <c r="D41" s="3">
        <v>1.9659507810285162</v>
      </c>
      <c r="E41" s="3">
        <v>1.6508122462052597</v>
      </c>
      <c r="F41" s="3">
        <v>1.875</v>
      </c>
      <c r="G41" s="3">
        <v>1.8333333333333335</v>
      </c>
      <c r="H41" s="3">
        <v>2</v>
      </c>
    </row>
    <row r="42" spans="1:12" x14ac:dyDescent="0.2">
      <c r="A42">
        <v>2014</v>
      </c>
      <c r="B42">
        <v>4</v>
      </c>
      <c r="C42" s="3">
        <v>1.8951101157148189</v>
      </c>
      <c r="D42" s="3">
        <v>1.7161076380452149</v>
      </c>
      <c r="E42" s="3">
        <v>1.8497845406336557</v>
      </c>
      <c r="F42" s="3">
        <v>1.625</v>
      </c>
      <c r="G42" s="3">
        <v>2</v>
      </c>
      <c r="H42" s="3">
        <v>2</v>
      </c>
      <c r="I42" t="s">
        <v>35</v>
      </c>
      <c r="J42">
        <v>2</v>
      </c>
      <c r="K42" t="s">
        <v>38</v>
      </c>
      <c r="L42">
        <v>1</v>
      </c>
    </row>
    <row r="43" spans="1:12" x14ac:dyDescent="0.2">
      <c r="A43">
        <v>2014</v>
      </c>
      <c r="B43">
        <v>3</v>
      </c>
      <c r="C43" s="3">
        <v>1.9253452780888387</v>
      </c>
      <c r="D43" s="3">
        <v>1.6917068346780004</v>
      </c>
      <c r="E43" s="3">
        <v>1.7221732667223115</v>
      </c>
      <c r="F43" s="3">
        <v>2</v>
      </c>
      <c r="G43" s="3">
        <v>1.8333333333333335</v>
      </c>
      <c r="H43" s="3">
        <v>2</v>
      </c>
    </row>
    <row r="44" spans="1:12" x14ac:dyDescent="0.2">
      <c r="A44">
        <v>2014</v>
      </c>
      <c r="B44">
        <v>2</v>
      </c>
      <c r="C44" s="3">
        <v>1.8499440089585664</v>
      </c>
      <c r="D44" s="3">
        <v>1.6657754438398826</v>
      </c>
      <c r="E44" s="3">
        <v>1.6757645515275743</v>
      </c>
      <c r="F44" s="3">
        <v>2</v>
      </c>
      <c r="G44" s="3">
        <v>2</v>
      </c>
      <c r="H44" s="3">
        <v>2</v>
      </c>
    </row>
    <row r="45" spans="1:12" x14ac:dyDescent="0.2">
      <c r="A45">
        <v>2014</v>
      </c>
      <c r="B45">
        <v>1</v>
      </c>
      <c r="C45" s="3">
        <v>1.9264650989175065</v>
      </c>
      <c r="D45" s="3">
        <v>1.6302668999499041</v>
      </c>
      <c r="E45" s="3">
        <v>1.6072876570105334</v>
      </c>
      <c r="F45" s="3">
        <v>1</v>
      </c>
      <c r="G45" s="3">
        <v>2</v>
      </c>
      <c r="H45" s="3">
        <v>2</v>
      </c>
    </row>
    <row r="46" spans="1:12" x14ac:dyDescent="0.2">
      <c r="A46" s="6" t="s">
        <v>91</v>
      </c>
      <c r="B46" s="7"/>
      <c r="C46" s="7" t="s">
        <v>94</v>
      </c>
      <c r="D46" s="7" t="s">
        <v>93</v>
      </c>
      <c r="E46" s="17" t="s">
        <v>92</v>
      </c>
      <c r="F46" s="9" t="s">
        <v>93</v>
      </c>
      <c r="G46" s="7" t="s">
        <v>93</v>
      </c>
      <c r="H46" s="17" t="s">
        <v>93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25DD-812C-E748-A048-A08551BDD054}">
  <dimension ref="A1:B45"/>
  <sheetViews>
    <sheetView workbookViewId="0"/>
  </sheetViews>
  <sheetFormatPr baseColWidth="10" defaultRowHeight="16" x14ac:dyDescent="0.2"/>
  <cols>
    <col min="1" max="1" width="7.33203125" bestFit="1" customWidth="1"/>
    <col min="2" max="2" width="10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2024</v>
      </c>
      <c r="B2">
        <v>4</v>
      </c>
    </row>
    <row r="3" spans="1:2" x14ac:dyDescent="0.2">
      <c r="A3">
        <v>2024</v>
      </c>
      <c r="B3">
        <v>3</v>
      </c>
    </row>
    <row r="4" spans="1:2" x14ac:dyDescent="0.2">
      <c r="A4">
        <v>2024</v>
      </c>
      <c r="B4">
        <v>2</v>
      </c>
    </row>
    <row r="5" spans="1:2" x14ac:dyDescent="0.2">
      <c r="A5">
        <v>2024</v>
      </c>
      <c r="B5">
        <v>1</v>
      </c>
    </row>
    <row r="6" spans="1:2" x14ac:dyDescent="0.2">
      <c r="A6">
        <v>2023</v>
      </c>
      <c r="B6">
        <v>4</v>
      </c>
    </row>
    <row r="7" spans="1:2" x14ac:dyDescent="0.2">
      <c r="A7">
        <v>2023</v>
      </c>
      <c r="B7">
        <v>3</v>
      </c>
    </row>
    <row r="8" spans="1:2" x14ac:dyDescent="0.2">
      <c r="A8">
        <v>2023</v>
      </c>
      <c r="B8">
        <v>2</v>
      </c>
    </row>
    <row r="9" spans="1:2" x14ac:dyDescent="0.2">
      <c r="A9">
        <v>2023</v>
      </c>
      <c r="B9">
        <v>1</v>
      </c>
    </row>
    <row r="10" spans="1:2" x14ac:dyDescent="0.2">
      <c r="A10">
        <v>2022</v>
      </c>
      <c r="B10">
        <v>4</v>
      </c>
    </row>
    <row r="11" spans="1:2" x14ac:dyDescent="0.2">
      <c r="A11">
        <v>2022</v>
      </c>
      <c r="B11">
        <v>3</v>
      </c>
    </row>
    <row r="12" spans="1:2" x14ac:dyDescent="0.2">
      <c r="A12">
        <v>2022</v>
      </c>
      <c r="B12">
        <v>2</v>
      </c>
    </row>
    <row r="13" spans="1:2" x14ac:dyDescent="0.2">
      <c r="A13">
        <v>2022</v>
      </c>
      <c r="B13">
        <v>1</v>
      </c>
    </row>
    <row r="14" spans="1:2" x14ac:dyDescent="0.2">
      <c r="A14">
        <v>2021</v>
      </c>
      <c r="B14">
        <v>4</v>
      </c>
    </row>
    <row r="15" spans="1:2" x14ac:dyDescent="0.2">
      <c r="A15">
        <v>2021</v>
      </c>
      <c r="B15">
        <v>3</v>
      </c>
    </row>
    <row r="16" spans="1:2" x14ac:dyDescent="0.2">
      <c r="A16">
        <v>2021</v>
      </c>
      <c r="B16">
        <v>2</v>
      </c>
    </row>
    <row r="17" spans="1:2" x14ac:dyDescent="0.2">
      <c r="A17">
        <v>2021</v>
      </c>
      <c r="B17">
        <v>1</v>
      </c>
    </row>
    <row r="18" spans="1:2" x14ac:dyDescent="0.2">
      <c r="A18">
        <v>2020</v>
      </c>
      <c r="B18">
        <v>4</v>
      </c>
    </row>
    <row r="19" spans="1:2" x14ac:dyDescent="0.2">
      <c r="A19">
        <v>2020</v>
      </c>
      <c r="B19">
        <v>3</v>
      </c>
    </row>
    <row r="20" spans="1:2" x14ac:dyDescent="0.2">
      <c r="A20">
        <v>2020</v>
      </c>
      <c r="B20">
        <v>2</v>
      </c>
    </row>
    <row r="21" spans="1:2" x14ac:dyDescent="0.2">
      <c r="A21">
        <v>2020</v>
      </c>
      <c r="B21">
        <v>1</v>
      </c>
    </row>
    <row r="22" spans="1:2" x14ac:dyDescent="0.2">
      <c r="A22">
        <v>2019</v>
      </c>
      <c r="B22">
        <v>4</v>
      </c>
    </row>
    <row r="23" spans="1:2" x14ac:dyDescent="0.2">
      <c r="A23">
        <v>2019</v>
      </c>
      <c r="B23">
        <v>3</v>
      </c>
    </row>
    <row r="24" spans="1:2" x14ac:dyDescent="0.2">
      <c r="A24">
        <v>2019</v>
      </c>
      <c r="B24">
        <v>2</v>
      </c>
    </row>
    <row r="25" spans="1:2" x14ac:dyDescent="0.2">
      <c r="A25">
        <v>2019</v>
      </c>
      <c r="B25">
        <v>1</v>
      </c>
    </row>
    <row r="26" spans="1:2" x14ac:dyDescent="0.2">
      <c r="A26">
        <v>2018</v>
      </c>
      <c r="B26">
        <v>4</v>
      </c>
    </row>
    <row r="27" spans="1:2" x14ac:dyDescent="0.2">
      <c r="A27">
        <v>2018</v>
      </c>
      <c r="B27">
        <v>3</v>
      </c>
    </row>
    <row r="28" spans="1:2" x14ac:dyDescent="0.2">
      <c r="A28">
        <v>2018</v>
      </c>
      <c r="B28">
        <v>2</v>
      </c>
    </row>
    <row r="29" spans="1:2" x14ac:dyDescent="0.2">
      <c r="A29">
        <v>2018</v>
      </c>
      <c r="B29">
        <v>1</v>
      </c>
    </row>
    <row r="30" spans="1:2" x14ac:dyDescent="0.2">
      <c r="A30">
        <v>2017</v>
      </c>
      <c r="B30">
        <v>4</v>
      </c>
    </row>
    <row r="31" spans="1:2" x14ac:dyDescent="0.2">
      <c r="A31">
        <v>2017</v>
      </c>
      <c r="B31">
        <v>3</v>
      </c>
    </row>
    <row r="32" spans="1:2" x14ac:dyDescent="0.2">
      <c r="A32">
        <v>2017</v>
      </c>
      <c r="B32">
        <v>2</v>
      </c>
    </row>
    <row r="33" spans="1:2" x14ac:dyDescent="0.2">
      <c r="A33">
        <v>2017</v>
      </c>
      <c r="B33">
        <v>1</v>
      </c>
    </row>
    <row r="34" spans="1:2" x14ac:dyDescent="0.2">
      <c r="A34">
        <v>2016</v>
      </c>
      <c r="B34">
        <v>4</v>
      </c>
    </row>
    <row r="35" spans="1:2" x14ac:dyDescent="0.2">
      <c r="A35">
        <v>2016</v>
      </c>
      <c r="B35">
        <v>3</v>
      </c>
    </row>
    <row r="36" spans="1:2" x14ac:dyDescent="0.2">
      <c r="A36">
        <v>2016</v>
      </c>
      <c r="B36">
        <v>2</v>
      </c>
    </row>
    <row r="37" spans="1:2" x14ac:dyDescent="0.2">
      <c r="A37">
        <v>2016</v>
      </c>
      <c r="B37">
        <v>1</v>
      </c>
    </row>
    <row r="38" spans="1:2" x14ac:dyDescent="0.2">
      <c r="A38">
        <v>2015</v>
      </c>
      <c r="B38">
        <v>4</v>
      </c>
    </row>
    <row r="39" spans="1:2" x14ac:dyDescent="0.2">
      <c r="A39">
        <v>2015</v>
      </c>
      <c r="B39">
        <v>3</v>
      </c>
    </row>
    <row r="40" spans="1:2" x14ac:dyDescent="0.2">
      <c r="A40">
        <v>2015</v>
      </c>
      <c r="B40">
        <v>2</v>
      </c>
    </row>
    <row r="41" spans="1:2" x14ac:dyDescent="0.2">
      <c r="A41">
        <v>2015</v>
      </c>
      <c r="B41">
        <v>1</v>
      </c>
    </row>
    <row r="42" spans="1:2" x14ac:dyDescent="0.2">
      <c r="A42">
        <v>2014</v>
      </c>
      <c r="B42">
        <v>4</v>
      </c>
    </row>
    <row r="43" spans="1:2" x14ac:dyDescent="0.2">
      <c r="A43">
        <v>2014</v>
      </c>
      <c r="B43">
        <v>3</v>
      </c>
    </row>
    <row r="44" spans="1:2" x14ac:dyDescent="0.2">
      <c r="A44">
        <v>2014</v>
      </c>
      <c r="B44">
        <v>2</v>
      </c>
    </row>
    <row r="45" spans="1:2" x14ac:dyDescent="0.2">
      <c r="A45">
        <v>2014</v>
      </c>
      <c r="B45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01A097-5617-3E45-9544-7990D59C0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Shock_quarterly</vt:lpstr>
      <vt:lpstr>Shock event mapping</vt:lpstr>
      <vt:lpstr>Pillar3_quarterly</vt:lpstr>
      <vt:lpstr>Pillar2_quarterly</vt:lpstr>
      <vt:lpstr>Pillar1_quarterly</vt:lpstr>
      <vt:lpstr>CRI index SOS</vt:lpstr>
      <vt:lpstr>Pillar1 SOS</vt:lpstr>
      <vt:lpstr>Pillar2 SOS</vt:lpstr>
      <vt:lpstr>Pillar3 SOS</vt:lpstr>
      <vt:lpstr>Final_std_lv3</vt:lpstr>
      <vt:lpstr>Pillar1_std_lv2</vt:lpstr>
      <vt:lpstr>Pillar2_std_lv2</vt:lpstr>
      <vt:lpstr>Pillar3_std_lv2</vt:lpstr>
      <vt:lpstr>Pillar1_standardized</vt:lpstr>
      <vt:lpstr>Pillar2_standardized</vt:lpstr>
      <vt:lpstr>Pillar3_standardized</vt:lpstr>
      <vt:lpstr>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Duc Minh</dc:creator>
  <cp:lastModifiedBy>Tran Duc Minh</cp:lastModifiedBy>
  <dcterms:created xsi:type="dcterms:W3CDTF">2025-07-22T16:05:30Z</dcterms:created>
  <dcterms:modified xsi:type="dcterms:W3CDTF">2025-09-03T10:42:40Z</dcterms:modified>
</cp:coreProperties>
</file>